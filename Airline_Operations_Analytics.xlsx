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rb\Desktop\"/>
    </mc:Choice>
  </mc:AlternateContent>
  <xr:revisionPtr revIDLastSave="0" documentId="13_ncr:1_{A1233EC8-F5BF-4C07-A508-99052E2BF2E2}" xr6:coauthVersionLast="47" xr6:coauthVersionMax="47" xr10:uidLastSave="{00000000-0000-0000-0000-000000000000}"/>
  <bookViews>
    <workbookView xWindow="-108" yWindow="-108" windowWidth="23256" windowHeight="12576" firstSheet="4" activeTab="6" xr2:uid="{42576EA1-5520-4C65-AA65-CB0A4C6B7074}"/>
  </bookViews>
  <sheets>
    <sheet name="Airports_Data" sheetId="1" r:id="rId1"/>
    <sheet name="Airlines_Data" sheetId="2" r:id="rId2"/>
    <sheet name="Aircrafts_Data" sheetId="3" r:id="rId3"/>
    <sheet name="Flights_Data" sheetId="4" r:id="rId4"/>
    <sheet name="Delay_Reasons_Data" sheetId="5" r:id="rId5"/>
    <sheet name="Pivot_Tables" sheetId="7" r:id="rId6"/>
    <sheet name="Overview_Dashboard" sheetId="6" r:id="rId7"/>
    <sheet name="Delay_Analysis" sheetId="8" r:id="rId8"/>
    <sheet name="Airport &amp; Route Analysis" sheetId="10" r:id="rId9"/>
  </sheets>
  <definedNames>
    <definedName name="_xlcn.WorksheetConnection_Airline_Operations_Analytics.xlsxfact_delays" hidden="1">fact_delays[]</definedName>
    <definedName name="_xlcn.WorksheetConnection_Airline_Operations_Analytics.xlsxfact_flights" hidden="1">fact_flights[]</definedName>
    <definedName name="Dilimleyici_Arrival_Airport_ID">#N/A</definedName>
    <definedName name="Dilimleyici_Departure_Airport_ID">#N/A</definedName>
    <definedName name="Dilimleyici_Flight_Status">#N/A</definedName>
    <definedName name="Dilimleyici_Flight_Status1">#N/A</definedName>
  </definedNames>
  <calcPr calcId="191029"/>
  <pivotCaches>
    <pivotCache cacheId="117" r:id="rId10"/>
    <pivotCache cacheId="24" r:id="rId11"/>
    <pivotCache cacheId="136" r:id="rId12"/>
    <pivotCache cacheId="137" r:id="rId13"/>
    <pivotCache cacheId="143" r:id="rId14"/>
  </pivotCaches>
  <extLst>
    <ext xmlns:x14="http://schemas.microsoft.com/office/spreadsheetml/2009/9/main" uri="{876F7934-8845-4945-9796-88D515C7AA90}">
      <x14:pivotCaches>
        <pivotCache cacheId="113" r:id="rId15"/>
      </x14:pivotCaches>
    </ex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delays" name="fact_delays" connection="WorksheetConnection_Airline_Operations_Analytics.xlsx!fact_delays"/>
          <x15:modelTable id="fact_flights" name="fact_flights" connection="WorksheetConnection_Airline_Operations_Analytics.xlsx!fact_flights"/>
        </x15:modelTables>
        <x15:modelRelationships>
          <x15:modelRelationship fromTable="fact_delays" fromColumn="Flight_ID" toTable="fact_flights" toColumn="Fligh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flights" columnName="Flight_Date" columnId="Flight_Date">
                <x16:calculatedTimeColumn columnName="Flight_Date (Ay Dizini)" columnId="Flight_Date (Ay Dizini)" contentType="monthsindex" isSelected="1"/>
                <x16:calculatedTimeColumn columnName="Flight_Date (Ay)" columnId="Flight_Date (Ay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6" l="1"/>
  <c r="H25" i="6"/>
  <c r="B25" i="6"/>
  <c r="N17" i="6"/>
  <c r="H17" i="6"/>
  <c r="B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BB9A7C-C9F8-46B0-B1D4-33AD268FD9DC}" keepAlive="1" name="ThisWorkbookDataModel" description="Veri Model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AF79DD6-246F-4B49-8805-7867C6D57DF1}" name="WorksheetConnection_Airline_Operations_Analytics.xlsx!fact_delays" type="102" refreshedVersion="8" minRefreshableVersion="5">
    <extLst>
      <ext xmlns:x15="http://schemas.microsoft.com/office/spreadsheetml/2010/11/main" uri="{DE250136-89BD-433C-8126-D09CA5730AF9}">
        <x15:connection id="fact_delays" autoDelete="1">
          <x15:rangePr sourceName="_xlcn.WorksheetConnection_Airline_Operations_Analytics.xlsxfact_delays"/>
        </x15:connection>
      </ext>
    </extLst>
  </connection>
  <connection id="3" xr16:uid="{6E93A86D-96EC-41FB-8F2E-892BCEE8FF31}" name="WorksheetConnection_Airline_Operations_Analytics.xlsx!fact_flights" type="102" refreshedVersion="8" minRefreshableVersion="5">
    <extLst>
      <ext xmlns:x15="http://schemas.microsoft.com/office/spreadsheetml/2010/11/main" uri="{DE250136-89BD-433C-8126-D09CA5730AF9}">
        <x15:connection id="fact_flights">
          <x15:rangePr sourceName="_xlcn.WorksheetConnection_Airline_Operations_Analytics.xlsxfact_flights"/>
        </x15:connection>
      </ext>
    </extLst>
  </connection>
</connections>
</file>

<file path=xl/sharedStrings.xml><?xml version="1.0" encoding="utf-8"?>
<sst xmlns="http://schemas.openxmlformats.org/spreadsheetml/2006/main" count="269" uniqueCount="98">
  <si>
    <t>Airport_ID</t>
  </si>
  <si>
    <t>Airport_Code</t>
  </si>
  <si>
    <t>Airport_Name</t>
  </si>
  <si>
    <t>City</t>
  </si>
  <si>
    <t>Country</t>
  </si>
  <si>
    <t>IST</t>
  </si>
  <si>
    <t>SAW</t>
  </si>
  <si>
    <t>ESB</t>
  </si>
  <si>
    <t>ADB</t>
  </si>
  <si>
    <t>AYT</t>
  </si>
  <si>
    <t>FRA</t>
  </si>
  <si>
    <t>CDG</t>
  </si>
  <si>
    <t>LHR</t>
  </si>
  <si>
    <t>AMS</t>
  </si>
  <si>
    <t>MAD</t>
  </si>
  <si>
    <t>Istanbul Airport</t>
  </si>
  <si>
    <t>Sabiha Gokcen Airport</t>
  </si>
  <si>
    <t>Ankara Esenboga Airport</t>
  </si>
  <si>
    <t>Izmir Adnan Menderes Airport</t>
  </si>
  <si>
    <t>Antalya Airport</t>
  </si>
  <si>
    <t>Frankfurt Airport</t>
  </si>
  <si>
    <t>Charles de Gaulle Airport</t>
  </si>
  <si>
    <t>Heathrow Airport</t>
  </si>
  <si>
    <t>Schiphol Airport</t>
  </si>
  <si>
    <t>Madrid Airport</t>
  </si>
  <si>
    <t>Istanbul</t>
  </si>
  <si>
    <t>Ankara</t>
  </si>
  <si>
    <t>Izmir</t>
  </si>
  <si>
    <t>Antalya</t>
  </si>
  <si>
    <t>Frankfurt</t>
  </si>
  <si>
    <t>Madrid</t>
  </si>
  <si>
    <t>Paris</t>
  </si>
  <si>
    <t>London</t>
  </si>
  <si>
    <t>Amsterdam</t>
  </si>
  <si>
    <t>Spain</t>
  </si>
  <si>
    <t>Netherlands</t>
  </si>
  <si>
    <t>UK</t>
  </si>
  <si>
    <t>France</t>
  </si>
  <si>
    <t>Germany</t>
  </si>
  <si>
    <t>Turkey</t>
  </si>
  <si>
    <t>Airline_ID</t>
  </si>
  <si>
    <t>Airline_Name</t>
  </si>
  <si>
    <t>Turkish Airlines</t>
  </si>
  <si>
    <t>Pegasus Airlines</t>
  </si>
  <si>
    <t>SunExpress</t>
  </si>
  <si>
    <t>Lufthansa</t>
  </si>
  <si>
    <t>Air France</t>
  </si>
  <si>
    <t>Aircraft_ID</t>
  </si>
  <si>
    <t>Aircraft_Type</t>
  </si>
  <si>
    <t>Seat_Capacity</t>
  </si>
  <si>
    <t>Airbus A320</t>
  </si>
  <si>
    <t>Airbus A321</t>
  </si>
  <si>
    <t>Boeing 737 MAX 8</t>
  </si>
  <si>
    <t>Boeing 737-800</t>
  </si>
  <si>
    <t>Airbus A330</t>
  </si>
  <si>
    <t>Flight_ID</t>
  </si>
  <si>
    <t>Flight_Date</t>
  </si>
  <si>
    <t>Departure_Airport_ID</t>
  </si>
  <si>
    <t>Arrival_Airport_ID</t>
  </si>
  <si>
    <t>Actual_Departure</t>
  </si>
  <si>
    <t>Scheduled_Departure</t>
  </si>
  <si>
    <t>Scheduled_Arrival</t>
  </si>
  <si>
    <t>Actual_Arrival</t>
  </si>
  <si>
    <t>Passengers</t>
  </si>
  <si>
    <t>Flight_Status</t>
  </si>
  <si>
    <t>Delay_ID</t>
  </si>
  <si>
    <t>Delay_Category</t>
  </si>
  <si>
    <t>Delay_Minutes</t>
  </si>
  <si>
    <t>Completed</t>
  </si>
  <si>
    <t>Delayed</t>
  </si>
  <si>
    <t>Weather</t>
  </si>
  <si>
    <t>Air Traffic</t>
  </si>
  <si>
    <t>Technical Issue</t>
  </si>
  <si>
    <t>Crew Issue</t>
  </si>
  <si>
    <t>Late Aircraft</t>
  </si>
  <si>
    <t>Satır Etiketleri</t>
  </si>
  <si>
    <t>Genel Toplam</t>
  </si>
  <si>
    <t>Toplam Passengers</t>
  </si>
  <si>
    <t>Say Flight_ID</t>
  </si>
  <si>
    <t>Airline Operations Overview Dashboard</t>
  </si>
  <si>
    <t>Operational Performance Summary (2025)</t>
  </si>
  <si>
    <t>Total Flights</t>
  </si>
  <si>
    <t>Completed Flights</t>
  </si>
  <si>
    <t>Delayed Flights</t>
  </si>
  <si>
    <t>Cancelled Flights</t>
  </si>
  <si>
    <t>Average Delay (min)</t>
  </si>
  <si>
    <t xml:space="preserve">On-Time Performance </t>
  </si>
  <si>
    <t>Oca</t>
  </si>
  <si>
    <t>Şub</t>
  </si>
  <si>
    <t>Flight Delay Root Cause Analysis</t>
  </si>
  <si>
    <t>Understanding operational disruption patterns</t>
  </si>
  <si>
    <t>Ortalama Delay_Minutes</t>
  </si>
  <si>
    <t>Mak Delay_Minutes</t>
  </si>
  <si>
    <t>TOP 10 MOST DELAYED FLIGHTS</t>
  </si>
  <si>
    <t>Veri Ortalaması: Delay_Minutes</t>
  </si>
  <si>
    <t>Airport &amp; Route Performance Analytics</t>
  </si>
  <si>
    <t>Network efficiency and operational bottlenecks</t>
  </si>
  <si>
    <t>Veri Sayısı: Flight_ID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</si>
</sst>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12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6"/>
      <color theme="2"/>
      <name val="Arial"/>
      <family val="2"/>
      <charset val="162"/>
    </font>
    <font>
      <b/>
      <sz val="20"/>
      <color theme="2"/>
      <name val="Arial"/>
      <family val="2"/>
      <charset val="162"/>
    </font>
    <font>
      <b/>
      <sz val="28"/>
      <color theme="2"/>
      <name val="Arial"/>
      <family val="2"/>
      <charset val="162"/>
    </font>
    <font>
      <b/>
      <sz val="18"/>
      <color theme="1"/>
      <name val="Arial"/>
      <family val="2"/>
      <charset val="162"/>
    </font>
    <font>
      <sz val="12"/>
      <color rgb="FF1F77B4"/>
      <name val="Arial"/>
      <family val="2"/>
      <charset val="162"/>
    </font>
    <font>
      <sz val="12"/>
      <color rgb="FF2ECC71"/>
      <name val="Arial"/>
      <family val="2"/>
      <charset val="162"/>
    </font>
    <font>
      <sz val="12"/>
      <color rgb="FFF39C12"/>
      <name val="Arial"/>
      <family val="2"/>
      <charset val="162"/>
    </font>
    <font>
      <sz val="12"/>
      <color rgb="FFE74C3C"/>
      <name val="Arial"/>
      <family val="2"/>
      <charset val="162"/>
    </font>
    <font>
      <sz val="11"/>
      <color rgb="FFC0000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0B1F3B"/>
        <bgColor indexed="64"/>
      </patternFill>
    </fill>
    <fill>
      <patternFill patternType="solid">
        <fgColor rgb="FFE74C3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20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Border="1"/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9" fontId="7" fillId="0" borderId="16" xfId="0" applyNumberFormat="1" applyFont="1" applyBorder="1" applyAlignment="1">
      <alignment horizontal="center" vertical="center"/>
    </xf>
    <xf numFmtId="9" fontId="7" fillId="0" borderId="17" xfId="0" applyNumberFormat="1" applyFont="1" applyBorder="1" applyAlignment="1">
      <alignment horizontal="center" vertical="center"/>
    </xf>
    <xf numFmtId="9" fontId="7" fillId="0" borderId="20" xfId="0" applyNumberFormat="1" applyFont="1" applyBorder="1" applyAlignment="1">
      <alignment horizontal="center" vertical="center"/>
    </xf>
    <xf numFmtId="9" fontId="7" fillId="0" borderId="21" xfId="0" applyNumberFormat="1" applyFont="1" applyBorder="1" applyAlignment="1">
      <alignment horizontal="center" vertical="center"/>
    </xf>
    <xf numFmtId="9" fontId="7" fillId="0" borderId="22" xfId="0" applyNumberFormat="1" applyFont="1" applyBorder="1" applyAlignment="1">
      <alignment horizontal="center" vertical="center"/>
    </xf>
    <xf numFmtId="0" fontId="1" fillId="0" borderId="0" xfId="0" pivotButton="1" applyFont="1" applyAlignment="1">
      <alignment horizontal="center" vertical="center"/>
    </xf>
    <xf numFmtId="0" fontId="1" fillId="0" borderId="14" xfId="0" pivotButton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80" fontId="1" fillId="0" borderId="14" xfId="0" applyNumberFormat="1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87">
    <dxf>
      <numFmt numFmtId="180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80" formatCode="0.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numFmt numFmtId="180" formatCode="0.0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0" formatCode="0.0"/>
    </dxf>
    <dxf>
      <numFmt numFmtId="180" formatCode="0.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25" formatCode="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25" formatCode="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25" formatCode="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25" formatCode="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E74C3C"/>
      <color rgb="FFF39C12"/>
      <color rgb="FF2ECC71"/>
      <color rgb="FF1F77B4"/>
      <color rgb="FF0B1F3B"/>
      <color rgb="FFA6D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Flight Status Distribution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548501749781277E-2"/>
              <c:y val="-3.35475164661021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6486493875765528E-2"/>
              <c:y val="-2.496863599597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Pivot_Tables!$C$4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16-4831-B0BB-FDBDACFB1146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116-4831-B0BB-FDBDACFB1146}"/>
              </c:ext>
            </c:extLst>
          </c:dPt>
          <c:dLbls>
            <c:dLbl>
              <c:idx val="0"/>
              <c:layout>
                <c:manualLayout>
                  <c:x val="5.6486493875765528E-2"/>
                  <c:y val="-2.4968635995972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16-4831-B0BB-FDBDACFB1146}"/>
                </c:ext>
              </c:extLst>
            </c:dLbl>
            <c:dLbl>
              <c:idx val="1"/>
              <c:layout>
                <c:manualLayout>
                  <c:x val="-1.8548501749781277E-2"/>
                  <c:y val="-3.35475164661021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16-4831-B0BB-FDBDACFB11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Pivot_Tables!$B$5:$B$7</c:f>
              <c:strCache>
                <c:ptCount val="2"/>
                <c:pt idx="0">
                  <c:v>Completed</c:v>
                </c:pt>
                <c:pt idx="1">
                  <c:v>Delayed</c:v>
                </c:pt>
              </c:strCache>
            </c:strRef>
          </c:cat>
          <c:val>
            <c:numRef>
              <c:f>Pivot_Tables!$C$5:$C$7</c:f>
              <c:numCache>
                <c:formatCode>General</c:formatCode>
                <c:ptCount val="2"/>
                <c:pt idx="0">
                  <c:v>13964</c:v>
                </c:pt>
                <c:pt idx="1">
                  <c:v>6481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6-4831-B0BB-FDBDACFB1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Monthly Flight Trend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Pivot_Tables!$I$4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Pivot_Tables!$H$5:$H$7</c:f>
              <c:strCache>
                <c:ptCount val="2"/>
                <c:pt idx="0">
                  <c:v>Oca</c:v>
                </c:pt>
                <c:pt idx="1">
                  <c:v>Şub</c:v>
                </c:pt>
              </c:strCache>
            </c:strRef>
          </c:cat>
          <c:val>
            <c:numRef>
              <c:f>Pivot_Tables!$I$5:$I$7</c:f>
              <c:numCache>
                <c:formatCode>General</c:formatCode>
                <c:ptCount val="2"/>
                <c:pt idx="0">
                  <c:v>60</c:v>
                </c:pt>
                <c:pt idx="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8-40A0-952F-03E297753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172144"/>
        <c:axId val="1872165424"/>
      </c:lineChart>
      <c:catAx>
        <c:axId val="18721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65424"/>
        <c:crosses val="autoZero"/>
        <c:auto val="1"/>
        <c:lblAlgn val="ctr"/>
        <c:lblOffset val="100"/>
        <c:noMultiLvlLbl val="0"/>
      </c:catAx>
      <c:valAx>
        <c:axId val="18721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Delay Category Breakdown</a:t>
            </a:r>
            <a:endParaRPr lang="tr-TR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Pivot_Tables!$S$4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E94-4614-8CC7-65ABBB3E5849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94-4614-8CC7-65ABBB3E5849}"/>
              </c:ext>
            </c:extLst>
          </c:dPt>
          <c:dPt>
            <c:idx val="3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E94-4614-8CC7-65ABBB3E58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Pivot_Tables!$R$5:$R$10</c:f>
              <c:strCache>
                <c:ptCount val="5"/>
                <c:pt idx="0">
                  <c:v>Air Traffic</c:v>
                </c:pt>
                <c:pt idx="1">
                  <c:v>Crew Issue</c:v>
                </c:pt>
                <c:pt idx="2">
                  <c:v>Late Aircraft</c:v>
                </c:pt>
                <c:pt idx="3">
                  <c:v>Technical Issue</c:v>
                </c:pt>
                <c:pt idx="4">
                  <c:v>Weather</c:v>
                </c:pt>
              </c:strCache>
            </c:strRef>
          </c:cat>
          <c:val>
            <c:numRef>
              <c:f>Pivot_Tables!$S$5:$S$10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4-4614-8CC7-65ABBB3E5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Avg Delay by Category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Pivot_Tables!$C$33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Pivot_Tables!$B$34:$B$39</c:f>
              <c:strCache>
                <c:ptCount val="5"/>
                <c:pt idx="0">
                  <c:v>Air Traffic</c:v>
                </c:pt>
                <c:pt idx="1">
                  <c:v>Crew Issue</c:v>
                </c:pt>
                <c:pt idx="2">
                  <c:v>Late Aircraft</c:v>
                </c:pt>
                <c:pt idx="3">
                  <c:v>Technical Issue</c:v>
                </c:pt>
                <c:pt idx="4">
                  <c:v>Weather</c:v>
                </c:pt>
              </c:strCache>
            </c:strRef>
          </c:cat>
          <c:val>
            <c:numRef>
              <c:f>Pivot_Tables!$C$34:$C$39</c:f>
              <c:numCache>
                <c:formatCode>0.0</c:formatCode>
                <c:ptCount val="5"/>
                <c:pt idx="0">
                  <c:v>37.285714285714285</c:v>
                </c:pt>
                <c:pt idx="1">
                  <c:v>34.833333333333336</c:v>
                </c:pt>
                <c:pt idx="2">
                  <c:v>39.6</c:v>
                </c:pt>
                <c:pt idx="3">
                  <c:v>51.714285714285715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D-4203-A5A2-4B7715C74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2174544"/>
        <c:axId val="1872179344"/>
      </c:barChart>
      <c:catAx>
        <c:axId val="187217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79344"/>
        <c:crosses val="autoZero"/>
        <c:auto val="1"/>
        <c:lblAlgn val="ctr"/>
        <c:lblOffset val="100"/>
        <c:noMultiLvlLbl val="0"/>
      </c:catAx>
      <c:valAx>
        <c:axId val="187217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Monthly Delay Trend Analysis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Pivot_Tables!$K$33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Pivot_Tables!$J$34:$J$36</c:f>
              <c:strCache>
                <c:ptCount val="2"/>
                <c:pt idx="0">
                  <c:v>Oca</c:v>
                </c:pt>
                <c:pt idx="1">
                  <c:v>Şub</c:v>
                </c:pt>
              </c:strCache>
            </c:strRef>
          </c:cat>
          <c:val>
            <c:numRef>
              <c:f>Pivot_Tables!$K$34:$K$36</c:f>
              <c:numCache>
                <c:formatCode>0.0</c:formatCode>
                <c:ptCount val="2"/>
                <c:pt idx="0">
                  <c:v>40.473684210526315</c:v>
                </c:pt>
                <c:pt idx="1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C-42A3-901D-A9AF11FEA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187504"/>
        <c:axId val="1872190864"/>
      </c:lineChart>
      <c:catAx>
        <c:axId val="18721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90864"/>
        <c:crosses val="autoZero"/>
        <c:auto val="1"/>
        <c:lblAlgn val="ctr"/>
        <c:lblOffset val="100"/>
        <c:noMultiLvlLbl val="0"/>
      </c:catAx>
      <c:valAx>
        <c:axId val="18721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8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TOP DELAYED AIRPORTS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Pivot_Tables!$U$33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Pivot_Tables!$T$34:$T$42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</c:strCache>
            </c:strRef>
          </c:cat>
          <c:val>
            <c:numRef>
              <c:f>Pivot_Tables!$U$34:$U$42</c:f>
              <c:numCache>
                <c:formatCode>General</c:formatCode>
                <c:ptCount val="8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5-4FC1-B052-CC156A291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195088"/>
        <c:axId val="1899184048"/>
      </c:barChart>
      <c:catAx>
        <c:axId val="189919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84048"/>
        <c:crosses val="autoZero"/>
        <c:auto val="1"/>
        <c:lblAlgn val="ctr"/>
        <c:lblOffset val="100"/>
        <c:noMultiLvlLbl val="0"/>
      </c:catAx>
      <c:valAx>
        <c:axId val="18991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9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TOP DELAYED AIRPORTS (Arrival)</a:t>
            </a:r>
            <a:endParaRPr lang="tr-TR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Pivot_Tables!$C$62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Pivot_Tables!$B$63:$B$72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Pivot_Tables!$C$63:$C$72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8-4FB1-BC5E-F86921906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165328"/>
        <c:axId val="1899173008"/>
      </c:barChart>
      <c:catAx>
        <c:axId val="18991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73008"/>
        <c:crosses val="autoZero"/>
        <c:auto val="1"/>
        <c:lblAlgn val="ctr"/>
        <c:lblOffset val="100"/>
        <c:noMultiLvlLbl val="0"/>
      </c:catAx>
      <c:valAx>
        <c:axId val="189917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ROUTE PERFORMANCE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Pivot_Tables!$K$63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Pivot_Tables!$J$64:$J$72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</c:strCache>
            </c:strRef>
          </c:cat>
          <c:val>
            <c:numRef>
              <c:f>Pivot_Tables!$K$64:$K$72</c:f>
              <c:numCache>
                <c:formatCode>0.0</c:formatCode>
                <c:ptCount val="8"/>
                <c:pt idx="0">
                  <c:v>38.222222222222221</c:v>
                </c:pt>
                <c:pt idx="1">
                  <c:v>45.125</c:v>
                </c:pt>
                <c:pt idx="2">
                  <c:v>43.666666666666664</c:v>
                </c:pt>
                <c:pt idx="3">
                  <c:v>44.833333333333336</c:v>
                </c:pt>
                <c:pt idx="4">
                  <c:v>42</c:v>
                </c:pt>
                <c:pt idx="5">
                  <c:v>48</c:v>
                </c:pt>
                <c:pt idx="6">
                  <c:v>42.75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B-431F-B8B8-B8EFBCBB6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213328"/>
        <c:axId val="1899153808"/>
      </c:barChart>
      <c:catAx>
        <c:axId val="189921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53808"/>
        <c:crosses val="autoZero"/>
        <c:auto val="1"/>
        <c:lblAlgn val="ctr"/>
        <c:lblOffset val="100"/>
        <c:noMultiLvlLbl val="0"/>
      </c:catAx>
      <c:valAx>
        <c:axId val="18991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21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AIRLINE PERFORMANCE</a:t>
            </a:r>
            <a:endParaRPr lang="tr-TR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Pivot_Tables!$AJ$15</c:f>
              <c:strCache>
                <c:ptCount val="1"/>
                <c:pt idx="0">
                  <c:v>Veri Sayısı: Flight_ID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Pivot_Tables!$AI$16:$AI$21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Pivot_Tables!$AJ$16:$AJ$21</c:f>
              <c:numCache>
                <c:formatCode>General</c:formatCode>
                <c:ptCount val="5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17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D-4B7A-A092-9CE4A2F0501A}"/>
            </c:ext>
          </c:extLst>
        </c:ser>
        <c:ser>
          <c:idx val="1"/>
          <c:order val="1"/>
          <c:tx>
            <c:strRef>
              <c:f>Pivot_Tables!$AK$15</c:f>
              <c:strCache>
                <c:ptCount val="1"/>
                <c:pt idx="0">
                  <c:v>Veri Ortalaması: Delay_Minutes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Pivot_Tables!$AI$16:$AI$21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Pivot_Tables!$AK$16:$AK$21</c:f>
              <c:numCache>
                <c:formatCode>0.0</c:formatCode>
                <c:ptCount val="5"/>
                <c:pt idx="0">
                  <c:v>38.222222222222221</c:v>
                </c:pt>
                <c:pt idx="1">
                  <c:v>44.777777777777779</c:v>
                </c:pt>
                <c:pt idx="2">
                  <c:v>44.444444444444443</c:v>
                </c:pt>
                <c:pt idx="4">
                  <c:v>43.166666666666664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BD-4B7A-A092-9CE4A2F05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178768"/>
        <c:axId val="1899157168"/>
      </c:barChart>
      <c:catAx>
        <c:axId val="189917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57168"/>
        <c:crosses val="autoZero"/>
        <c:auto val="1"/>
        <c:lblAlgn val="ctr"/>
        <c:lblOffset val="100"/>
        <c:noMultiLvlLbl val="0"/>
      </c:catAx>
      <c:valAx>
        <c:axId val="18991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7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Flight Status Distribution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548501749781277E-2"/>
              <c:y val="-3.35475164661021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6486493875765528E-2"/>
              <c:y val="-2.496863599597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6486493875765528E-2"/>
              <c:y val="-2.496863599597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548501749781277E-2"/>
              <c:y val="-3.35475164661021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6486493875765528E-2"/>
              <c:y val="-2.496863599597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548501749781277E-2"/>
              <c:y val="-3.35475164661021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Pivot_Tables!$C$4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A5-45DC-BC8D-11D56D7A7475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A5-45DC-BC8D-11D56D7A7475}"/>
              </c:ext>
            </c:extLst>
          </c:dPt>
          <c:dLbls>
            <c:dLbl>
              <c:idx val="0"/>
              <c:layout>
                <c:manualLayout>
                  <c:x val="5.6486493875765528E-2"/>
                  <c:y val="-2.4968635995972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A5-45DC-BC8D-11D56D7A7475}"/>
                </c:ext>
              </c:extLst>
            </c:dLbl>
            <c:dLbl>
              <c:idx val="1"/>
              <c:layout>
                <c:manualLayout>
                  <c:x val="-1.8548501749781277E-2"/>
                  <c:y val="-3.35475164661021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A5-45DC-BC8D-11D56D7A74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Pivot_Tables!$B$5:$B$7</c:f>
              <c:strCache>
                <c:ptCount val="2"/>
                <c:pt idx="0">
                  <c:v>Completed</c:v>
                </c:pt>
                <c:pt idx="1">
                  <c:v>Delayed</c:v>
                </c:pt>
              </c:strCache>
            </c:strRef>
          </c:cat>
          <c:val>
            <c:numRef>
              <c:f>Pivot_Tables!$C$5:$C$7</c:f>
              <c:numCache>
                <c:formatCode>General</c:formatCode>
                <c:ptCount val="2"/>
                <c:pt idx="0">
                  <c:v>13964</c:v>
                </c:pt>
                <c:pt idx="1">
                  <c:v>6481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A5-45DC-BC8D-11D56D7A7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Monthly Flight Trend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Pivot_Tables!$I$4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Pivot_Tables!$H$5:$H$7</c:f>
              <c:strCache>
                <c:ptCount val="2"/>
                <c:pt idx="0">
                  <c:v>Oca</c:v>
                </c:pt>
                <c:pt idx="1">
                  <c:v>Şub</c:v>
                </c:pt>
              </c:strCache>
            </c:strRef>
          </c:cat>
          <c:val>
            <c:numRef>
              <c:f>Pivot_Tables!$I$5:$I$7</c:f>
              <c:numCache>
                <c:formatCode>General</c:formatCode>
                <c:ptCount val="2"/>
                <c:pt idx="0">
                  <c:v>60</c:v>
                </c:pt>
                <c:pt idx="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6-480A-A9A4-F607228A6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172144"/>
        <c:axId val="1872165424"/>
      </c:lineChart>
      <c:catAx>
        <c:axId val="18721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65424"/>
        <c:crosses val="autoZero"/>
        <c:auto val="1"/>
        <c:lblAlgn val="ctr"/>
        <c:lblOffset val="100"/>
        <c:noMultiLvlLbl val="0"/>
      </c:catAx>
      <c:valAx>
        <c:axId val="18721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Delay Category Breakdown</a:t>
            </a:r>
            <a:endParaRPr lang="tr-TR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Pivot_Tables!$S$4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7F-41D5-A6ED-9C3BBFD12F6D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7F-41D5-A6ED-9C3BBFD12F6D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7F-41D5-A6ED-9C3BBFD12F6D}"/>
              </c:ext>
            </c:extLst>
          </c:dPt>
          <c:dPt>
            <c:idx val="3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7F-41D5-A6ED-9C3BBFD12F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7F-41D5-A6ED-9C3BBFD12F6D}"/>
              </c:ext>
            </c:extLst>
          </c:dPt>
          <c:cat>
            <c:strRef>
              <c:f>Pivot_Tables!$R$5:$R$10</c:f>
              <c:strCache>
                <c:ptCount val="5"/>
                <c:pt idx="0">
                  <c:v>Air Traffic</c:v>
                </c:pt>
                <c:pt idx="1">
                  <c:v>Crew Issue</c:v>
                </c:pt>
                <c:pt idx="2">
                  <c:v>Late Aircraft</c:v>
                </c:pt>
                <c:pt idx="3">
                  <c:v>Technical Issue</c:v>
                </c:pt>
                <c:pt idx="4">
                  <c:v>Weather</c:v>
                </c:pt>
              </c:strCache>
            </c:strRef>
          </c:cat>
          <c:val>
            <c:numRef>
              <c:f>Pivot_Tables!$S$5:$S$10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7F-41D5-A6ED-9C3BBFD12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Avg Delay by Category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Pivot_Tables!$C$33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Pivot_Tables!$B$34:$B$39</c:f>
              <c:strCache>
                <c:ptCount val="5"/>
                <c:pt idx="0">
                  <c:v>Air Traffic</c:v>
                </c:pt>
                <c:pt idx="1">
                  <c:v>Crew Issue</c:v>
                </c:pt>
                <c:pt idx="2">
                  <c:v>Late Aircraft</c:v>
                </c:pt>
                <c:pt idx="3">
                  <c:v>Technical Issue</c:v>
                </c:pt>
                <c:pt idx="4">
                  <c:v>Weather</c:v>
                </c:pt>
              </c:strCache>
            </c:strRef>
          </c:cat>
          <c:val>
            <c:numRef>
              <c:f>Pivot_Tables!$C$34:$C$39</c:f>
              <c:numCache>
                <c:formatCode>0.0</c:formatCode>
                <c:ptCount val="5"/>
                <c:pt idx="0">
                  <c:v>37.285714285714285</c:v>
                </c:pt>
                <c:pt idx="1">
                  <c:v>34.833333333333336</c:v>
                </c:pt>
                <c:pt idx="2">
                  <c:v>39.6</c:v>
                </c:pt>
                <c:pt idx="3">
                  <c:v>51.714285714285715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C-414B-A8EB-9778FE679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2174544"/>
        <c:axId val="1872179344"/>
      </c:barChart>
      <c:catAx>
        <c:axId val="187217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79344"/>
        <c:crosses val="autoZero"/>
        <c:auto val="1"/>
        <c:lblAlgn val="ctr"/>
        <c:lblOffset val="100"/>
        <c:noMultiLvlLbl val="0"/>
      </c:catAx>
      <c:valAx>
        <c:axId val="187217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Monthly Delay Trend Analysis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Pivot_Tables!$K$33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Pivot_Tables!$J$34:$J$36</c:f>
              <c:strCache>
                <c:ptCount val="2"/>
                <c:pt idx="0">
                  <c:v>Oca</c:v>
                </c:pt>
                <c:pt idx="1">
                  <c:v>Şub</c:v>
                </c:pt>
              </c:strCache>
            </c:strRef>
          </c:cat>
          <c:val>
            <c:numRef>
              <c:f>Pivot_Tables!$K$34:$K$36</c:f>
              <c:numCache>
                <c:formatCode>0.0</c:formatCode>
                <c:ptCount val="2"/>
                <c:pt idx="0">
                  <c:v>40.473684210526315</c:v>
                </c:pt>
                <c:pt idx="1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C-432B-8F06-CBBF5857B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187504"/>
        <c:axId val="1872190864"/>
      </c:lineChart>
      <c:catAx>
        <c:axId val="18721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90864"/>
        <c:crosses val="autoZero"/>
        <c:auto val="1"/>
        <c:lblAlgn val="ctr"/>
        <c:lblOffset val="100"/>
        <c:noMultiLvlLbl val="0"/>
      </c:catAx>
      <c:valAx>
        <c:axId val="18721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218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/>
              <a:t>TOP DELAYED AIRPORTS (Departure)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Pivot_Tables!$U$33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Pivot_Tables!$T$34:$T$42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</c:strCache>
            </c:strRef>
          </c:cat>
          <c:val>
            <c:numRef>
              <c:f>Pivot_Tables!$U$34:$U$42</c:f>
              <c:numCache>
                <c:formatCode>General</c:formatCode>
                <c:ptCount val="8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C-4AEB-9ED6-238AF6915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195088"/>
        <c:axId val="1899184048"/>
      </c:barChart>
      <c:catAx>
        <c:axId val="189919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84048"/>
        <c:crosses val="autoZero"/>
        <c:auto val="1"/>
        <c:lblAlgn val="ctr"/>
        <c:lblOffset val="100"/>
        <c:noMultiLvlLbl val="0"/>
      </c:catAx>
      <c:valAx>
        <c:axId val="18991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9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TOP DELAYED AIRPORTS (Arrival)</a:t>
            </a:r>
            <a:endParaRPr lang="tr-TR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Pivot_Tables!$C$62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Pivot_Tables!$B$63:$B$72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Pivot_Tables!$C$63:$C$72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8-4C8F-B771-BC71D44EE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165328"/>
        <c:axId val="1899173008"/>
      </c:barChart>
      <c:catAx>
        <c:axId val="18991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73008"/>
        <c:crosses val="autoZero"/>
        <c:auto val="1"/>
        <c:lblAlgn val="ctr"/>
        <c:lblOffset val="100"/>
        <c:noMultiLvlLbl val="0"/>
      </c:catAx>
      <c:valAx>
        <c:axId val="189917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ROUTE PERFORMANCE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Pivot_Tables!$K$63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Pivot_Tables!$J$64:$J$72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</c:strCache>
            </c:strRef>
          </c:cat>
          <c:val>
            <c:numRef>
              <c:f>Pivot_Tables!$K$64:$K$72</c:f>
              <c:numCache>
                <c:formatCode>0.0</c:formatCode>
                <c:ptCount val="8"/>
                <c:pt idx="0">
                  <c:v>38.222222222222221</c:v>
                </c:pt>
                <c:pt idx="1">
                  <c:v>45.125</c:v>
                </c:pt>
                <c:pt idx="2">
                  <c:v>43.666666666666664</c:v>
                </c:pt>
                <c:pt idx="3">
                  <c:v>44.833333333333336</c:v>
                </c:pt>
                <c:pt idx="4">
                  <c:v>42</c:v>
                </c:pt>
                <c:pt idx="5">
                  <c:v>48</c:v>
                </c:pt>
                <c:pt idx="6">
                  <c:v>42.75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8-429C-8BC5-5FA6BD131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213328"/>
        <c:axId val="1899153808"/>
      </c:barChart>
      <c:catAx>
        <c:axId val="189921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53808"/>
        <c:crosses val="autoZero"/>
        <c:auto val="1"/>
        <c:lblAlgn val="ctr"/>
        <c:lblOffset val="100"/>
        <c:noMultiLvlLbl val="0"/>
      </c:catAx>
      <c:valAx>
        <c:axId val="18991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21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[Airline_Operations_Analytics.xlsx]Pivot_Tables!PivotTable19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AIRLINE PERFORMANCE</a:t>
            </a:r>
            <a:endParaRPr lang="tr-TR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Pivot_Tables!$AJ$15</c:f>
              <c:strCache>
                <c:ptCount val="1"/>
                <c:pt idx="0">
                  <c:v>Veri Sayısı: Flight_ID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Pivot_Tables!$AI$16:$AI$21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Pivot_Tables!$AJ$16:$AJ$21</c:f>
              <c:numCache>
                <c:formatCode>General</c:formatCode>
                <c:ptCount val="5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17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3-40C5-9CBB-936EADBBAB5A}"/>
            </c:ext>
          </c:extLst>
        </c:ser>
        <c:ser>
          <c:idx val="1"/>
          <c:order val="1"/>
          <c:tx>
            <c:strRef>
              <c:f>Pivot_Tables!$AK$15</c:f>
              <c:strCache>
                <c:ptCount val="1"/>
                <c:pt idx="0">
                  <c:v>Veri Ortalaması: Delay_Minutes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Pivot_Tables!$AI$16:$AI$21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Pivot_Tables!$AK$16:$AK$21</c:f>
              <c:numCache>
                <c:formatCode>0.0</c:formatCode>
                <c:ptCount val="5"/>
                <c:pt idx="0">
                  <c:v>38.222222222222221</c:v>
                </c:pt>
                <c:pt idx="1">
                  <c:v>44.777777777777779</c:v>
                </c:pt>
                <c:pt idx="2">
                  <c:v>44.444444444444443</c:v>
                </c:pt>
                <c:pt idx="4">
                  <c:v>43.166666666666664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3-40C5-9CBB-936EADB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178768"/>
        <c:axId val="1899157168"/>
      </c:barChart>
      <c:catAx>
        <c:axId val="189917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57168"/>
        <c:crosses val="autoZero"/>
        <c:auto val="1"/>
        <c:lblAlgn val="ctr"/>
        <c:lblOffset val="100"/>
        <c:noMultiLvlLbl val="0"/>
      </c:catAx>
      <c:valAx>
        <c:axId val="18991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917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8</xdr:row>
      <xdr:rowOff>15766</xdr:rowOff>
    </xdr:from>
    <xdr:to>
      <xdr:col>4</xdr:col>
      <xdr:colOff>5255</xdr:colOff>
      <xdr:row>21</xdr:row>
      <xdr:rowOff>22860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DE808098-2DF7-E313-1D7A-3789843D2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403218</xdr:colOff>
      <xdr:row>8</xdr:row>
      <xdr:rowOff>6236</xdr:rowOff>
    </xdr:from>
    <xdr:to>
      <xdr:col>10</xdr:col>
      <xdr:colOff>685605</xdr:colOff>
      <xdr:row>20</xdr:row>
      <xdr:rowOff>115566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88B8161-504E-8081-0643-F7927C1BC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416859</xdr:colOff>
      <xdr:row>10</xdr:row>
      <xdr:rowOff>165848</xdr:rowOff>
    </xdr:from>
    <xdr:to>
      <xdr:col>25</xdr:col>
      <xdr:colOff>58271</xdr:colOff>
      <xdr:row>26</xdr:row>
      <xdr:rowOff>40342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FC811DBA-BFF3-24B6-7CAE-D8D4B4B8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563880</xdr:colOff>
      <xdr:row>40</xdr:row>
      <xdr:rowOff>0</xdr:rowOff>
    </xdr:from>
    <xdr:to>
      <xdr:col>5</xdr:col>
      <xdr:colOff>274320</xdr:colOff>
      <xdr:row>55</xdr:row>
      <xdr:rowOff>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0342481E-3063-0626-1F81-748B3F2C1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22411</xdr:colOff>
      <xdr:row>36</xdr:row>
      <xdr:rowOff>173210</xdr:rowOff>
    </xdr:from>
    <xdr:to>
      <xdr:col>13</xdr:col>
      <xdr:colOff>336817</xdr:colOff>
      <xdr:row>51</xdr:row>
      <xdr:rowOff>140553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FF5506A8-D2F2-5B65-17B4-66D44CCBE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28302</xdr:colOff>
      <xdr:row>32</xdr:row>
      <xdr:rowOff>30480</xdr:rowOff>
    </xdr:from>
    <xdr:to>
      <xdr:col>25</xdr:col>
      <xdr:colOff>195941</xdr:colOff>
      <xdr:row>37</xdr:row>
      <xdr:rowOff>43544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Flight_Status">
              <a:extLst>
                <a:ext uri="{FF2B5EF4-FFF2-40B4-BE49-F238E27FC236}">
                  <a16:creationId xmlns:a16="http://schemas.microsoft.com/office/drawing/2014/main" id="{1D1B040C-5D14-F0C8-71D2-B53571530E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light_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51731" y="5952309"/>
              <a:ext cx="1865810" cy="938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18</xdr:col>
      <xdr:colOff>810985</xdr:colOff>
      <xdr:row>43</xdr:row>
      <xdr:rowOff>27215</xdr:rowOff>
    </xdr:from>
    <xdr:to>
      <xdr:col>25</xdr:col>
      <xdr:colOff>321128</xdr:colOff>
      <xdr:row>57</xdr:row>
      <xdr:rowOff>179614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66B1E908-33D1-7F17-7813-654CBB01C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193637</xdr:colOff>
      <xdr:row>60</xdr:row>
      <xdr:rowOff>173467</xdr:rowOff>
    </xdr:from>
    <xdr:to>
      <xdr:col>5</xdr:col>
      <xdr:colOff>301214</xdr:colOff>
      <xdr:row>66</xdr:row>
      <xdr:rowOff>44823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Flight_Status 1">
              <a:extLst>
                <a:ext uri="{FF2B5EF4-FFF2-40B4-BE49-F238E27FC236}">
                  <a16:creationId xmlns:a16="http://schemas.microsoft.com/office/drawing/2014/main" id="{32BCF2AB-6868-7CC7-6A28-D84A3EE3B4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light_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6323" y="11276896"/>
              <a:ext cx="1827520" cy="9816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1</xdr:col>
      <xdr:colOff>4483</xdr:colOff>
      <xdr:row>72</xdr:row>
      <xdr:rowOff>94130</xdr:rowOff>
    </xdr:from>
    <xdr:to>
      <xdr:col>6</xdr:col>
      <xdr:colOff>58271</xdr:colOff>
      <xdr:row>87</xdr:row>
      <xdr:rowOff>147918</xdr:rowOff>
    </xdr:to>
    <xdr:graphicFrame macro="">
      <xdr:nvGraphicFramePr>
        <xdr:cNvPr id="12" name="Grafik 11">
          <a:extLst>
            <a:ext uri="{FF2B5EF4-FFF2-40B4-BE49-F238E27FC236}">
              <a16:creationId xmlns:a16="http://schemas.microsoft.com/office/drawing/2014/main" id="{278086FF-3C14-9752-EB80-23B15C8EB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1143000</xdr:colOff>
      <xdr:row>73</xdr:row>
      <xdr:rowOff>4483</xdr:rowOff>
    </xdr:from>
    <xdr:to>
      <xdr:col>13</xdr:col>
      <xdr:colOff>300318</xdr:colOff>
      <xdr:row>88</xdr:row>
      <xdr:rowOff>58272</xdr:rowOff>
    </xdr:to>
    <xdr:graphicFrame macro="">
      <xdr:nvGraphicFramePr>
        <xdr:cNvPr id="13" name="Grafik 12">
          <a:extLst>
            <a:ext uri="{FF2B5EF4-FFF2-40B4-BE49-F238E27FC236}">
              <a16:creationId xmlns:a16="http://schemas.microsoft.com/office/drawing/2014/main" id="{92785EF0-27C1-2027-B523-501385D22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5379</xdr:colOff>
      <xdr:row>78</xdr:row>
      <xdr:rowOff>148366</xdr:rowOff>
    </xdr:from>
    <xdr:to>
      <xdr:col>17</xdr:col>
      <xdr:colOff>991496</xdr:colOff>
      <xdr:row>83</xdr:row>
      <xdr:rowOff>26894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Departure_Airport_ID">
              <a:extLst>
                <a:ext uri="{FF2B5EF4-FFF2-40B4-BE49-F238E27FC236}">
                  <a16:creationId xmlns:a16="http://schemas.microsoft.com/office/drawing/2014/main" id="{E561B1B7-AB53-0631-910D-A417289362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ure_Airport_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94808" y="14582823"/>
              <a:ext cx="1835202" cy="8038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395792</xdr:colOff>
      <xdr:row>73</xdr:row>
      <xdr:rowOff>117437</xdr:rowOff>
    </xdr:from>
    <xdr:to>
      <xdr:col>17</xdr:col>
      <xdr:colOff>960568</xdr:colOff>
      <xdr:row>78</xdr:row>
      <xdr:rowOff>53788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Arrival_Airport_ID">
              <a:extLst>
                <a:ext uri="{FF2B5EF4-FFF2-40B4-BE49-F238E27FC236}">
                  <a16:creationId xmlns:a16="http://schemas.microsoft.com/office/drawing/2014/main" id="{BEFAA69C-9A53-EC3F-CF43-7CFFBFD8A8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rival_Airport_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0678" y="13626608"/>
              <a:ext cx="1838404" cy="8616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34</xdr:col>
      <xdr:colOff>21771</xdr:colOff>
      <xdr:row>21</xdr:row>
      <xdr:rowOff>136071</xdr:rowOff>
    </xdr:from>
    <xdr:to>
      <xdr:col>36</xdr:col>
      <xdr:colOff>1556657</xdr:colOff>
      <xdr:row>36</xdr:row>
      <xdr:rowOff>103414</xdr:rowOff>
    </xdr:to>
    <xdr:graphicFrame macro="">
      <xdr:nvGraphicFramePr>
        <xdr:cNvPr id="16" name="Grafik 15">
          <a:extLst>
            <a:ext uri="{FF2B5EF4-FFF2-40B4-BE49-F238E27FC236}">
              <a16:creationId xmlns:a16="http://schemas.microsoft.com/office/drawing/2014/main" id="{9A9AC125-808D-1DF0-80EA-C0FD29A6D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6626</xdr:colOff>
      <xdr:row>29</xdr:row>
      <xdr:rowOff>5207</xdr:rowOff>
    </xdr:from>
    <xdr:to>
      <xdr:col>8</xdr:col>
      <xdr:colOff>4235</xdr:colOff>
      <xdr:row>42</xdr:row>
      <xdr:rowOff>6626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F920163-8753-449B-A1C6-2C1D6836D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6627</xdr:colOff>
      <xdr:row>29</xdr:row>
      <xdr:rowOff>1</xdr:rowOff>
    </xdr:from>
    <xdr:to>
      <xdr:col>17</xdr:col>
      <xdr:colOff>1</xdr:colOff>
      <xdr:row>42</xdr:row>
      <xdr:rowOff>19880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8542661B-C6F9-47DB-9A42-D323A6CB1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</xdr:colOff>
      <xdr:row>13</xdr:row>
      <xdr:rowOff>2338</xdr:rowOff>
    </xdr:from>
    <xdr:to>
      <xdr:col>8</xdr:col>
      <xdr:colOff>6626</xdr:colOff>
      <xdr:row>28</xdr:row>
      <xdr:rowOff>5255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47CBCBD-2588-40EB-A6E0-80F0D27D2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1150620</xdr:colOff>
      <xdr:row>13</xdr:row>
      <xdr:rowOff>2241</xdr:rowOff>
    </xdr:from>
    <xdr:to>
      <xdr:col>17</xdr:col>
      <xdr:colOff>1793</xdr:colOff>
      <xdr:row>27</xdr:row>
      <xdr:rowOff>175261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CBBC84C1-B24B-440F-A652-F4581AC68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10886</xdr:colOff>
      <xdr:row>32</xdr:row>
      <xdr:rowOff>10886</xdr:rowOff>
    </xdr:from>
    <xdr:to>
      <xdr:col>15</xdr:col>
      <xdr:colOff>598714</xdr:colOff>
      <xdr:row>46</xdr:row>
      <xdr:rowOff>175260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3266AC55-736A-4917-AFF6-874D7B752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12</xdr:row>
      <xdr:rowOff>170331</xdr:rowOff>
    </xdr:from>
    <xdr:to>
      <xdr:col>8</xdr:col>
      <xdr:colOff>0</xdr:colOff>
      <xdr:row>29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D1C36187-B928-4827-B9A2-A2588C22C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609599</xdr:colOff>
      <xdr:row>13</xdr:row>
      <xdr:rowOff>8962</xdr:rowOff>
    </xdr:from>
    <xdr:to>
      <xdr:col>17</xdr:col>
      <xdr:colOff>8965</xdr:colOff>
      <xdr:row>29</xdr:row>
      <xdr:rowOff>8964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4AF8C654-2CC6-4E73-81C6-7460BA7BC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8964</xdr:rowOff>
    </xdr:from>
    <xdr:to>
      <xdr:col>8</xdr:col>
      <xdr:colOff>8966</xdr:colOff>
      <xdr:row>45</xdr:row>
      <xdr:rowOff>62753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6FF4C788-919A-4190-813B-BE7BC2483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197224</xdr:colOff>
      <xdr:row>32</xdr:row>
      <xdr:rowOff>107576</xdr:rowOff>
    </xdr:from>
    <xdr:to>
      <xdr:col>11</xdr:col>
      <xdr:colOff>197224</xdr:colOff>
      <xdr:row>37</xdr:row>
      <xdr:rowOff>43927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rrival_Airport_ID 1">
              <a:extLst>
                <a:ext uri="{FF2B5EF4-FFF2-40B4-BE49-F238E27FC236}">
                  <a16:creationId xmlns:a16="http://schemas.microsoft.com/office/drawing/2014/main" id="{D6AB38B8-3FB2-4B5B-BF40-A0C676B78A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rival_Airport_I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4024" y="5871067"/>
              <a:ext cx="1828800" cy="8368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206189</xdr:colOff>
      <xdr:row>38</xdr:row>
      <xdr:rowOff>0</xdr:rowOff>
    </xdr:from>
    <xdr:to>
      <xdr:col>11</xdr:col>
      <xdr:colOff>206189</xdr:colOff>
      <xdr:row>42</xdr:row>
      <xdr:rowOff>116541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Departure_Airport_ID 1">
              <a:extLst>
                <a:ext uri="{FF2B5EF4-FFF2-40B4-BE49-F238E27FC236}">
                  <a16:creationId xmlns:a16="http://schemas.microsoft.com/office/drawing/2014/main" id="{7A11897C-7870-4438-9213-7350E92196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ure_Airport_I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2989" y="6844145"/>
              <a:ext cx="1828800" cy="8369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4</xdr:col>
      <xdr:colOff>7620</xdr:colOff>
      <xdr:row>47</xdr:row>
      <xdr:rowOff>166295</xdr:rowOff>
    </xdr:from>
    <xdr:to>
      <xdr:col>12</xdr:col>
      <xdr:colOff>0</xdr:colOff>
      <xdr:row>63</xdr:row>
      <xdr:rowOff>37203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BB89F0A4-80DB-4CB8-AFD0-687B1DC75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r Barış Ergin" refreshedDate="46184.812942013887" createdVersion="8" refreshedVersion="8" minRefreshableVersion="3" recordCount="100" xr:uid="{C8883FB7-A513-4C59-A888-0556A019CFCE}">
  <cacheSource type="worksheet">
    <worksheetSource name="fact_flights"/>
  </cacheSource>
  <cacheFields count="14">
    <cacheField name="Flight_ID" numFmtId="0">
      <sharedItems containsSemiMixedTypes="0" containsString="0" containsNumber="1" containsInteger="1" minValue="10001" maxValue="10100" count="1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</sharedItems>
    </cacheField>
    <cacheField name="Flight_Date" numFmtId="14">
      <sharedItems containsSemiMixedTypes="0" containsNonDate="0" containsDate="1" containsString="0" minDate="2025-01-02T00:00:00" maxDate="2025-02-21T00:00:00" count="50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</sharedItems>
      <fieldGroup par="13"/>
    </cacheField>
    <cacheField name="Airline_ID" numFmtId="0">
      <sharedItems containsSemiMixedTypes="0" containsString="0" containsNumber="1" containsInteger="1" minValue="1" maxValue="5"/>
    </cacheField>
    <cacheField name="Aircraft_ID" numFmtId="0">
      <sharedItems containsSemiMixedTypes="0" containsString="0" containsNumber="1" containsInteger="1" minValue="1" maxValue="5"/>
    </cacheField>
    <cacheField name="Departure_Airport_ID" numFmtId="0">
      <sharedItems containsSemiMixedTypes="0" containsString="0" containsNumber="1" containsInteger="1" minValue="1" maxValue="10" count="10">
        <n v="1"/>
        <n v="2"/>
        <n v="3"/>
        <n v="6"/>
        <n v="7"/>
        <n v="5"/>
        <n v="4"/>
        <n v="8"/>
        <n v="9"/>
        <n v="10"/>
      </sharedItems>
    </cacheField>
    <cacheField name="Arrival_Airport_ID" numFmtId="0">
      <sharedItems containsSemiMixedTypes="0" containsString="0" containsNumber="1" containsInteger="1" minValue="1" maxValue="10" count="10">
        <n v="6"/>
        <n v="5"/>
        <n v="1"/>
        <n v="8"/>
        <n v="2"/>
        <n v="9"/>
        <n v="7"/>
        <n v="10"/>
        <n v="3"/>
        <n v="4"/>
      </sharedItems>
    </cacheField>
    <cacheField name="Scheduled_Departure" numFmtId="20">
      <sharedItems containsSemiMixedTypes="0" containsNonDate="0" containsDate="1" containsString="0" minDate="1899-12-30T06:30:00" maxDate="1899-12-30T18:00:00"/>
    </cacheField>
    <cacheField name="Actual_Departure" numFmtId="20">
      <sharedItems containsSemiMixedTypes="0" containsNonDate="0" containsDate="1" containsString="0" minDate="1899-12-30T06:30:00" maxDate="1899-12-30T18:20:00"/>
    </cacheField>
    <cacheField name="Scheduled_Arrival" numFmtId="20">
      <sharedItems containsSemiMixedTypes="0" containsNonDate="0" containsDate="1" containsString="0" minDate="1899-12-30T08:50:00" maxDate="1899-12-30T20:30:00"/>
    </cacheField>
    <cacheField name="Actual_Arrival" numFmtId="20">
      <sharedItems containsSemiMixedTypes="0" containsNonDate="0" containsDate="1" containsString="0" minDate="1899-12-30T08:45:00" maxDate="1899-12-30T21:05:00"/>
    </cacheField>
    <cacheField name="Passengers" numFmtId="0">
      <sharedItems containsSemiMixedTypes="0" containsString="0" containsNumber="1" containsInteger="1" minValue="145" maxValue="300"/>
    </cacheField>
    <cacheField name="Flight_Status" numFmtId="0">
      <sharedItems count="2">
        <s v="Completed"/>
        <s v="Delayed"/>
      </sharedItems>
    </cacheField>
    <cacheField name="Gün (Flight_Date)" numFmtId="0" databaseField="0">
      <fieldGroup base="1">
        <rangePr groupBy="days" startDate="2025-01-02T00:00:00" endDate="2025-02-21T00:00:00"/>
        <groupItems count="368">
          <s v="&lt;2.01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1.02.2025"/>
        </groupItems>
      </fieldGroup>
    </cacheField>
    <cacheField name="Ay (Flight_Date)" numFmtId="0" databaseField="0">
      <fieldGroup base="1">
        <rangePr groupBy="months" startDate="2025-01-02T00:00:00" endDate="2025-02-21T00:00:00"/>
        <groupItems count="14">
          <s v="&lt;2.01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1.02.2025"/>
        </groupItems>
      </fieldGroup>
    </cacheField>
  </cacheFields>
  <extLst>
    <ext xmlns:x14="http://schemas.microsoft.com/office/spreadsheetml/2009/9/main" uri="{725AE2AE-9491-48be-B2B4-4EB974FC3084}">
      <x14:pivotCacheDefinition pivotCacheId="95686337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r Barış Ergin" refreshedDate="46184.829344907404" createdVersion="8" refreshedVersion="8" minRefreshableVersion="3" recordCount="33" xr:uid="{B1453340-D6C9-49C5-BB3A-336A26B086F3}">
  <cacheSource type="worksheet">
    <worksheetSource name="fact_delays"/>
  </cacheSource>
  <cacheFields count="4">
    <cacheField name="Delay_ID" numFmtId="0">
      <sharedItems containsSemiMixedTypes="0" containsString="0" containsNumber="1" containsInteger="1" minValue="1" maxValue="33"/>
    </cacheField>
    <cacheField name="Flight_ID" numFmtId="0">
      <sharedItems containsSemiMixedTypes="0" containsString="0" containsNumber="1" containsInteger="1" minValue="10002" maxValue="10100" count="33">
        <n v="10002"/>
        <n v="10004"/>
        <n v="10007"/>
        <n v="10010"/>
        <n v="10014"/>
        <n v="10017"/>
        <n v="10020"/>
        <n v="10023"/>
        <n v="10027"/>
        <n v="10030"/>
        <n v="10033"/>
        <n v="10036"/>
        <n v="10039"/>
        <n v="10042"/>
        <n v="10045"/>
        <n v="10048"/>
        <n v="10052"/>
        <n v="10055"/>
        <n v="10058"/>
        <n v="10061"/>
        <n v="10064"/>
        <n v="10067"/>
        <n v="10070"/>
        <n v="10073"/>
        <n v="10076"/>
        <n v="10079"/>
        <n v="10082"/>
        <n v="10085"/>
        <n v="10088"/>
        <n v="10091"/>
        <n v="10094"/>
        <n v="10097"/>
        <n v="10100"/>
      </sharedItems>
    </cacheField>
    <cacheField name="Delay_Category" numFmtId="0">
      <sharedItems count="5">
        <s v="Weather"/>
        <s v="Air Traffic"/>
        <s v="Technical Issue"/>
        <s v="Crew Issue"/>
        <s v="Late Aircraft"/>
      </sharedItems>
    </cacheField>
    <cacheField name="Delay_Minutes" numFmtId="0">
      <sharedItems containsSemiMixedTypes="0" containsString="0" containsNumber="1" containsInteger="1" minValue="25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ir Barış Ergin" refreshedDate="46184.854619791666" backgroundQuery="1" createdVersion="8" refreshedVersion="8" minRefreshableVersion="3" recordCount="0" supportSubquery="1" supportAdvancedDrill="1" xr:uid="{78A217FA-83ED-498B-A33F-5F2AA075DE2D}">
  <cacheSource type="external" connectionId="1"/>
  <cacheFields count="3">
    <cacheField name="[fact_flights].[Departure_Airport_ID].[Departure_Airport_ID]" caption="Departure_Airport_ID" numFmtId="0" hierarchy="8" level="1">
      <sharedItems containsSemiMixedTypes="0" containsString="0" containsNumber="1" containsInteger="1" minValue="1" maxValue="10" count="8">
        <n v="1"/>
        <n v="2"/>
        <n v="3"/>
        <n v="4"/>
        <n v="5"/>
        <n v="7"/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fact_flights].[Departure_Airport_ID].&amp;[1]"/>
            <x15:cachedUniqueName index="1" name="[fact_flights].[Departure_Airport_ID].&amp;[2]"/>
            <x15:cachedUniqueName index="2" name="[fact_flights].[Departure_Airport_ID].&amp;[3]"/>
            <x15:cachedUniqueName index="3" name="[fact_flights].[Departure_Airport_ID].&amp;[4]"/>
            <x15:cachedUniqueName index="4" name="[fact_flights].[Departure_Airport_ID].&amp;[5]"/>
            <x15:cachedUniqueName index="5" name="[fact_flights].[Departure_Airport_ID].&amp;[7]"/>
            <x15:cachedUniqueName index="6" name="[fact_flights].[Departure_Airport_ID].&amp;[9]"/>
            <x15:cachedUniqueName index="7" name="[fact_flights].[Departure_Airport_ID].&amp;[10]"/>
          </x15:cachedUniqueNames>
        </ext>
      </extLst>
    </cacheField>
    <cacheField name="[fact_flights].[Arrival_Airport_ID].[Arrival_Airport_ID]" caption="Arrival_Airport_ID" numFmtId="0" hierarchy="9" level="1">
      <sharedItems containsSemiMixedTypes="0" containsString="0" containsNumber="1" containsInteger="1" minValue="3" maxValue="8" count="3">
        <n v="3"/>
        <n v="6"/>
        <n v="8"/>
      </sharedItems>
      <extLst>
        <ext xmlns:x15="http://schemas.microsoft.com/office/spreadsheetml/2010/11/main" uri="{4F2E5C28-24EA-4eb8-9CBF-B6C8F9C3D259}">
          <x15:cachedUniqueNames>
            <x15:cachedUniqueName index="0" name="[fact_flights].[Arrival_Airport_ID].&amp;[3]"/>
            <x15:cachedUniqueName index="1" name="[fact_flights].[Arrival_Airport_ID].&amp;[6]"/>
            <x15:cachedUniqueName index="2" name="[fact_flights].[Arrival_Airport_ID].&amp;[8]"/>
          </x15:cachedUniqueNames>
        </ext>
      </extLst>
    </cacheField>
    <cacheField name="[Measures].[Veri Ortalaması: Delay_Minutes]" caption="Veri Ortalaması: Delay_Minutes" numFmtId="0" hierarchy="22" level="32767"/>
  </cacheFields>
  <cacheHierarchies count="25">
    <cacheHierarchy uniqueName="[fact_delays].[Delay_ID]" caption="Delay_ID" attribute="1" defaultMemberUniqueName="[fact_delays].[Delay_ID].[All]" allUniqueName="[fact_delays].[Delay_ID].[All]" dimensionUniqueName="[fact_delays]" displayFolder="" count="0" memberValueDatatype="20" unbalanced="0"/>
    <cacheHierarchy uniqueName="[fact_delays].[Flight_ID]" caption="Flight_ID" attribute="1" defaultMemberUniqueName="[fact_delays].[Flight_ID].[All]" allUniqueName="[fact_delays].[Flight_ID].[All]" dimensionUniqueName="[fact_delays]" displayFolder="" count="0" memberValueDatatype="20" unbalanced="0"/>
    <cacheHierarchy uniqueName="[fact_delays].[Delay_Category]" caption="Delay_Category" attribute="1" defaultMemberUniqueName="[fact_delays].[Delay_Category].[All]" allUniqueName="[fact_delays].[Delay_Category].[All]" dimensionUniqueName="[fact_delays]" displayFolder="" count="0" memberValueDatatype="130" unbalanced="0"/>
    <cacheHierarchy uniqueName="[fact_delays].[Delay_Minutes]" caption="Delay_Minutes" attribute="1" defaultMemberUniqueName="[fact_delays].[Delay_Minutes].[All]" allUniqueName="[fact_delays].[Delay_Minutes].[All]" dimensionUniqueName="[fact_delays]" displayFolder="" count="0" memberValueDatatype="20" unbalanced="0"/>
    <cacheHierarchy uniqueName="[fact_flights].[Flight_ID]" caption="Flight_ID" attribute="1" defaultMemberUniqueName="[fact_flights].[Flight_ID].[All]" allUniqueName="[fact_flights].[Flight_ID].[All]" dimensionUniqueName="[fact_flights]" displayFolder="" count="0" memberValueDatatype="20" unbalanced="0"/>
    <cacheHierarchy uniqueName="[fact_flights].[Flight_Date]" caption="Flight_Date" attribute="1" time="1" defaultMemberUniqueName="[fact_flights].[Flight_Date].[All]" allUniqueName="[fact_flights].[Flight_Date].[All]" dimensionUniqueName="[fact_flights]" displayFolder="" count="0" memberValueDatatype="7" unbalanced="0"/>
    <cacheHierarchy uniqueName="[fact_flights].[Airline_ID]" caption="Airline_ID" attribute="1" defaultMemberUniqueName="[fact_flights].[Airline_ID].[All]" allUniqueName="[fact_flights].[Airline_ID].[All]" dimensionUniqueName="[fact_flights]" displayFolder="" count="0" memberValueDatatype="20" unbalanced="0"/>
    <cacheHierarchy uniqueName="[fact_flights].[Aircraft_ID]" caption="Aircraft_ID" attribute="1" defaultMemberUniqueName="[fact_flights].[Aircraft_ID].[All]" allUniqueName="[fact_flights].[Aircraft_ID].[All]" dimensionUniqueName="[fact_flights]" displayFolder="" count="0" memberValueDatatype="20" unbalanced="0"/>
    <cacheHierarchy uniqueName="[fact_flights].[Departure_Airport_ID]" caption="Departure_Airport_ID" attribute="1" defaultMemberUniqueName="[fact_flights].[Departure_Airport_ID].[All]" allUniqueName="[fact_flights].[Departure_Airport_ID].[All]" dimensionUniqueName="[fact_flights]" displayFolder="" count="2" memberValueDatatype="20" unbalanced="0">
      <fieldsUsage count="2">
        <fieldUsage x="-1"/>
        <fieldUsage x="0"/>
      </fieldsUsage>
    </cacheHierarchy>
    <cacheHierarchy uniqueName="[fact_flights].[Arrival_Airport_ID]" caption="Arrival_Airport_ID" attribute="1" defaultMemberUniqueName="[fact_flights].[Arrival_Airport_ID].[All]" allUniqueName="[fact_flights].[Arrival_Airport_ID].[All]" dimensionUniqueName="[fact_flights]" displayFolder="" count="2" memberValueDatatype="20" unbalanced="0">
      <fieldsUsage count="2">
        <fieldUsage x="-1"/>
        <fieldUsage x="1"/>
      </fieldsUsage>
    </cacheHierarchy>
    <cacheHierarchy uniqueName="[fact_flights].[Scheduled_Departure]" caption="Scheduled_Departure" attribute="1" time="1" defaultMemberUniqueName="[fact_flights].[Scheduled_Departure].[All]" allUniqueName="[fact_flights].[Scheduled_Departure].[All]" dimensionUniqueName="[fact_flights]" displayFolder="" count="0" memberValueDatatype="7" unbalanced="0"/>
    <cacheHierarchy uniqueName="[fact_flights].[Actual_Departure]" caption="Actual_Departure" attribute="1" time="1" defaultMemberUniqueName="[fact_flights].[Actual_Departure].[All]" allUniqueName="[fact_flights].[Actual_Departure].[All]" dimensionUniqueName="[fact_flights]" displayFolder="" count="0" memberValueDatatype="7" unbalanced="0"/>
    <cacheHierarchy uniqueName="[fact_flights].[Scheduled_Arrival]" caption="Scheduled_Arrival" attribute="1" time="1" defaultMemberUniqueName="[fact_flights].[Scheduled_Arrival].[All]" allUniqueName="[fact_flights].[Scheduled_Arrival].[All]" dimensionUniqueName="[fact_flights]" displayFolder="" count="0" memberValueDatatype="7" unbalanced="0"/>
    <cacheHierarchy uniqueName="[fact_flights].[Actual_Arrival]" caption="Actual_Arrival" attribute="1" time="1" defaultMemberUniqueName="[fact_flights].[Actual_Arrival].[All]" allUniqueName="[fact_flights].[Actual_Arrival].[All]" dimensionUniqueName="[fact_flights]" displayFolder="" count="0" memberValueDatatype="7" unbalanced="0"/>
    <cacheHierarchy uniqueName="[fact_flights].[Passengers]" caption="Passengers" attribute="1" defaultMemberUniqueName="[fact_flights].[Passengers].[All]" allUniqueName="[fact_flights].[Passengers].[All]" dimensionUniqueName="[fact_flights]" displayFolder="" count="0" memberValueDatatype="20" unbalanced="0"/>
    <cacheHierarchy uniqueName="[fact_flights].[Flight_Status]" caption="Flight_Status" attribute="1" defaultMemberUniqueName="[fact_flights].[Flight_Status].[All]" allUniqueName="[fact_flights].[Flight_Status].[All]" dimensionUniqueName="[fact_flights]" displayFolder="" count="0" memberValueDatatype="130" unbalanced="0"/>
    <cacheHierarchy uniqueName="[fact_flights].[Flight_Date (Ay)]" caption="Flight_Date (Ay)" attribute="1" defaultMemberUniqueName="[fact_flights].[Flight_Date (Ay)].[All]" allUniqueName="[fact_flights].[Flight_Date (Ay)].[All]" dimensionUniqueName="[fact_flights]" displayFolder="" count="0" memberValueDatatype="130" unbalanced="0"/>
    <cacheHierarchy uniqueName="[fact_flights].[Flight_Date (Ay Dizini)]" caption="Flight_Date (Ay Dizini)" attribute="1" defaultMemberUniqueName="[fact_flights].[Flight_Date (Ay Dizini)].[All]" allUniqueName="[fact_flights].[Flight_Date (Ay Dizini)].[All]" dimensionUniqueName="[fact_flights]" displayFolder="" count="0" memberValueDatatype="20" unbalanced="0" hidden="1"/>
    <cacheHierarchy uniqueName="[Measures].[__XL_Count fact_delays]" caption="__XL_Count fact_delays" measure="1" displayFolder="" measureGroup="fact_delays" count="0" hidden="1"/>
    <cacheHierarchy uniqueName="[Measures].[__XL_Count fact_flights]" caption="__XL_Count fact_flights" measure="1" displayFolder="" measureGroup="fact_flights" count="0" hidden="1"/>
    <cacheHierarchy uniqueName="[Measures].[__No measures defined]" caption="__No measures defined" measure="1" displayFolder="" count="0" hidden="1"/>
    <cacheHierarchy uniqueName="[Measures].[Toplam veri: Delay_Minutes]" caption="Toplam veri: Delay_Minutes" measure="1" displayFolder="" measureGroup="fact_delay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Veri Ortalaması: Delay_Minutes]" caption="Veri Ortalaması: Delay_Minutes" measure="1" displayFolder="" measureGroup="fact_delay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Flight_ID]" caption="Toplam veri: Flight_ID" measure="1" displayFolder="" measureGroup="fact_fligh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Veri Sayısı: Flight_ID]" caption="Veri Sayısı: Flight_ID" measure="1" displayFolder="" measureGroup="fact_fligh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fact_delays" uniqueName="[fact_delays]" caption="fact_delays"/>
    <dimension name="fact_flights" uniqueName="[fact_flights]" caption="fact_flights"/>
    <dimension measure="1" name="Measures" uniqueName="[Measures]" caption="Measures"/>
  </dimensions>
  <measureGroups count="2">
    <measureGroup name="fact_delays" caption="fact_delays"/>
    <measureGroup name="fact_flights" caption="fact_flight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ir Barış Ergin" refreshedDate="46184.844157060186" backgroundQuery="1" createdVersion="8" refreshedVersion="8" minRefreshableVersion="3" recordCount="0" supportSubquery="1" supportAdvancedDrill="1" xr:uid="{FD7953D1-31CB-4CFF-A1DF-5BE2A5244F9D}">
  <cacheSource type="external" connectionId="1"/>
  <cacheFields count="3">
    <cacheField name="[fact_flights].[Flight_Date].[Flight_Date]" caption="Flight_Date" numFmtId="0" hierarchy="5" level="1">
      <sharedItems containsSemiMixedTypes="0" containsNonDate="0" containsDate="1" containsString="0" minDate="2025-01-02T00:00:00" maxDate="2025-02-21T00:00:00" count="50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</sharedItems>
    </cacheField>
    <cacheField name="[fact_flights].[Flight_Date (Ay)].[Flight_Date (Ay)]" caption="Flight_Date (Ay)" numFmtId="0" hierarchy="16" level="1">
      <sharedItems count="2">
        <s v="Oca"/>
        <s v="Şub"/>
      </sharedItems>
    </cacheField>
    <cacheField name="[Measures].[Veri Ortalaması: Delay_Minutes]" caption="Veri Ortalaması: Delay_Minutes" numFmtId="0" hierarchy="22" level="32767"/>
  </cacheFields>
  <cacheHierarchies count="25">
    <cacheHierarchy uniqueName="[fact_delays].[Delay_ID]" caption="Delay_ID" attribute="1" defaultMemberUniqueName="[fact_delays].[Delay_ID].[All]" allUniqueName="[fact_delays].[Delay_ID].[All]" dimensionUniqueName="[fact_delays]" displayFolder="" count="0" memberValueDatatype="20" unbalanced="0"/>
    <cacheHierarchy uniqueName="[fact_delays].[Flight_ID]" caption="Flight_ID" attribute="1" defaultMemberUniqueName="[fact_delays].[Flight_ID].[All]" allUniqueName="[fact_delays].[Flight_ID].[All]" dimensionUniqueName="[fact_delays]" displayFolder="" count="0" memberValueDatatype="20" unbalanced="0"/>
    <cacheHierarchy uniqueName="[fact_delays].[Delay_Category]" caption="Delay_Category" attribute="1" defaultMemberUniqueName="[fact_delays].[Delay_Category].[All]" allUniqueName="[fact_delays].[Delay_Category].[All]" dimensionUniqueName="[fact_delays]" displayFolder="" count="0" memberValueDatatype="130" unbalanced="0"/>
    <cacheHierarchy uniqueName="[fact_delays].[Delay_Minutes]" caption="Delay_Minutes" attribute="1" defaultMemberUniqueName="[fact_delays].[Delay_Minutes].[All]" allUniqueName="[fact_delays].[Delay_Minutes].[All]" dimensionUniqueName="[fact_delays]" displayFolder="" count="0" memberValueDatatype="20" unbalanced="0"/>
    <cacheHierarchy uniqueName="[fact_flights].[Flight_ID]" caption="Flight_ID" attribute="1" defaultMemberUniqueName="[fact_flights].[Flight_ID].[All]" allUniqueName="[fact_flights].[Flight_ID].[All]" dimensionUniqueName="[fact_flights]" displayFolder="" count="0" memberValueDatatype="20" unbalanced="0"/>
    <cacheHierarchy uniqueName="[fact_flights].[Flight_Date]" caption="Flight_Date" attribute="1" time="1" defaultMemberUniqueName="[fact_flights].[Flight_Date].[All]" allUniqueName="[fact_flights].[Flight_Date].[All]" dimensionUniqueName="[fact_flights]" displayFolder="" count="2" memberValueDatatype="7" unbalanced="0">
      <fieldsUsage count="2">
        <fieldUsage x="-1"/>
        <fieldUsage x="0"/>
      </fieldsUsage>
    </cacheHierarchy>
    <cacheHierarchy uniqueName="[fact_flights].[Airline_ID]" caption="Airline_ID" attribute="1" defaultMemberUniqueName="[fact_flights].[Airline_ID].[All]" allUniqueName="[fact_flights].[Airline_ID].[All]" dimensionUniqueName="[fact_flights]" displayFolder="" count="0" memberValueDatatype="20" unbalanced="0"/>
    <cacheHierarchy uniqueName="[fact_flights].[Aircraft_ID]" caption="Aircraft_ID" attribute="1" defaultMemberUniqueName="[fact_flights].[Aircraft_ID].[All]" allUniqueName="[fact_flights].[Aircraft_ID].[All]" dimensionUniqueName="[fact_flights]" displayFolder="" count="0" memberValueDatatype="20" unbalanced="0"/>
    <cacheHierarchy uniqueName="[fact_flights].[Departure_Airport_ID]" caption="Departure_Airport_ID" attribute="1" defaultMemberUniqueName="[fact_flights].[Departure_Airport_ID].[All]" allUniqueName="[fact_flights].[Departure_Airport_ID].[All]" dimensionUniqueName="[fact_flights]" displayFolder="" count="0" memberValueDatatype="20" unbalanced="0"/>
    <cacheHierarchy uniqueName="[fact_flights].[Arrival_Airport_ID]" caption="Arrival_Airport_ID" attribute="1" defaultMemberUniqueName="[fact_flights].[Arrival_Airport_ID].[All]" allUniqueName="[fact_flights].[Arrival_Airport_ID].[All]" dimensionUniqueName="[fact_flights]" displayFolder="" count="0" memberValueDatatype="20" unbalanced="0"/>
    <cacheHierarchy uniqueName="[fact_flights].[Scheduled_Departure]" caption="Scheduled_Departure" attribute="1" time="1" defaultMemberUniqueName="[fact_flights].[Scheduled_Departure].[All]" allUniqueName="[fact_flights].[Scheduled_Departure].[All]" dimensionUniqueName="[fact_flights]" displayFolder="" count="0" memberValueDatatype="7" unbalanced="0"/>
    <cacheHierarchy uniqueName="[fact_flights].[Actual_Departure]" caption="Actual_Departure" attribute="1" time="1" defaultMemberUniqueName="[fact_flights].[Actual_Departure].[All]" allUniqueName="[fact_flights].[Actual_Departure].[All]" dimensionUniqueName="[fact_flights]" displayFolder="" count="0" memberValueDatatype="7" unbalanced="0"/>
    <cacheHierarchy uniqueName="[fact_flights].[Scheduled_Arrival]" caption="Scheduled_Arrival" attribute="1" time="1" defaultMemberUniqueName="[fact_flights].[Scheduled_Arrival].[All]" allUniqueName="[fact_flights].[Scheduled_Arrival].[All]" dimensionUniqueName="[fact_flights]" displayFolder="" count="0" memberValueDatatype="7" unbalanced="0"/>
    <cacheHierarchy uniqueName="[fact_flights].[Actual_Arrival]" caption="Actual_Arrival" attribute="1" time="1" defaultMemberUniqueName="[fact_flights].[Actual_Arrival].[All]" allUniqueName="[fact_flights].[Actual_Arrival].[All]" dimensionUniqueName="[fact_flights]" displayFolder="" count="0" memberValueDatatype="7" unbalanced="0"/>
    <cacheHierarchy uniqueName="[fact_flights].[Passengers]" caption="Passengers" attribute="1" defaultMemberUniqueName="[fact_flights].[Passengers].[All]" allUniqueName="[fact_flights].[Passengers].[All]" dimensionUniqueName="[fact_flights]" displayFolder="" count="0" memberValueDatatype="20" unbalanced="0"/>
    <cacheHierarchy uniqueName="[fact_flights].[Flight_Status]" caption="Flight_Status" attribute="1" defaultMemberUniqueName="[fact_flights].[Flight_Status].[All]" allUniqueName="[fact_flights].[Flight_Status].[All]" dimensionUniqueName="[fact_flights]" displayFolder="" count="0" memberValueDatatype="130" unbalanced="0"/>
    <cacheHierarchy uniqueName="[fact_flights].[Flight_Date (Ay)]" caption="Flight_Date (Ay)" attribute="1" defaultMemberUniqueName="[fact_flights].[Flight_Date (Ay)].[All]" allUniqueName="[fact_flights].[Flight_Date (Ay)].[All]" dimensionUniqueName="[fact_flights]" displayFolder="" count="2" memberValueDatatype="130" unbalanced="0">
      <fieldsUsage count="2">
        <fieldUsage x="-1"/>
        <fieldUsage x="1"/>
      </fieldsUsage>
    </cacheHierarchy>
    <cacheHierarchy uniqueName="[fact_flights].[Flight_Date (Ay Dizini)]" caption="Flight_Date (Ay Dizini)" attribute="1" defaultMemberUniqueName="[fact_flights].[Flight_Date (Ay Dizini)].[All]" allUniqueName="[fact_flights].[Flight_Date (Ay Dizini)].[All]" dimensionUniqueName="[fact_flights]" displayFolder="" count="0" memberValueDatatype="20" unbalanced="0" hidden="1"/>
    <cacheHierarchy uniqueName="[Measures].[__XL_Count fact_delays]" caption="__XL_Count fact_delays" measure="1" displayFolder="" measureGroup="fact_delays" count="0" hidden="1"/>
    <cacheHierarchy uniqueName="[Measures].[__XL_Count fact_flights]" caption="__XL_Count fact_flights" measure="1" displayFolder="" measureGroup="fact_flights" count="0" hidden="1"/>
    <cacheHierarchy uniqueName="[Measures].[__No measures defined]" caption="__No measures defined" measure="1" displayFolder="" count="0" hidden="1"/>
    <cacheHierarchy uniqueName="[Measures].[Toplam veri: Delay_Minutes]" caption="Toplam veri: Delay_Minutes" measure="1" displayFolder="" measureGroup="fact_delay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Veri Ortalaması: Delay_Minutes]" caption="Veri Ortalaması: Delay_Minutes" measure="1" displayFolder="" measureGroup="fact_delay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Flight_ID]" caption="Toplam veri: Flight_ID" measure="1" displayFolder="" measureGroup="fact_fligh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Veri Sayısı: Flight_ID]" caption="Veri Sayısı: Flight_ID" measure="1" displayFolder="" measureGroup="fact_fligh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fact_delays" uniqueName="[fact_delays]" caption="fact_delays"/>
    <dimension name="fact_flights" uniqueName="[fact_flights]" caption="fact_flights"/>
    <dimension measure="1" name="Measures" uniqueName="[Measures]" caption="Measures"/>
  </dimensions>
  <measureGroups count="2">
    <measureGroup name="fact_delays" caption="fact_delays"/>
    <measureGroup name="fact_flights" caption="fact_flight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ir Barış Ergin" refreshedDate="46184.856286689814" backgroundQuery="1" createdVersion="8" refreshedVersion="8" minRefreshableVersion="3" recordCount="0" supportSubquery="1" supportAdvancedDrill="1" xr:uid="{8C472CA4-A722-4135-9781-2D4E4F844C54}">
  <cacheSource type="external" connectionId="1"/>
  <cacheFields count="3">
    <cacheField name="[fact_flights].[Airline_ID].[Airline_ID]" caption="Airline_ID" numFmtId="0" hierarchy="6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fact_flights].[Airline_ID].&amp;[1]"/>
            <x15:cachedUniqueName index="1" name="[fact_flights].[Airline_ID].&amp;[2]"/>
            <x15:cachedUniqueName index="2" name="[fact_flights].[Airline_ID].&amp;[3]"/>
            <x15:cachedUniqueName index="3" name="[fact_flights].[Airline_ID].&amp;[4]"/>
            <x15:cachedUniqueName index="4" name="[fact_flights].[Airline_ID].&amp;[5]"/>
          </x15:cachedUniqueNames>
        </ext>
      </extLst>
    </cacheField>
    <cacheField name="[Measures].[Veri Sayısı: Flight_ID]" caption="Veri Sayısı: Flight_ID" numFmtId="0" hierarchy="24" level="32767"/>
    <cacheField name="[Measures].[Veri Ortalaması: Delay_Minutes]" caption="Veri Ortalaması: Delay_Minutes" numFmtId="0" hierarchy="22" level="32767"/>
  </cacheFields>
  <cacheHierarchies count="25">
    <cacheHierarchy uniqueName="[fact_delays].[Delay_ID]" caption="Delay_ID" attribute="1" defaultMemberUniqueName="[fact_delays].[Delay_ID].[All]" allUniqueName="[fact_delays].[Delay_ID].[All]" dimensionUniqueName="[fact_delays]" displayFolder="" count="0" memberValueDatatype="20" unbalanced="0"/>
    <cacheHierarchy uniqueName="[fact_delays].[Flight_ID]" caption="Flight_ID" attribute="1" defaultMemberUniqueName="[fact_delays].[Flight_ID].[All]" allUniqueName="[fact_delays].[Flight_ID].[All]" dimensionUniqueName="[fact_delays]" displayFolder="" count="0" memberValueDatatype="20" unbalanced="0"/>
    <cacheHierarchy uniqueName="[fact_delays].[Delay_Category]" caption="Delay_Category" attribute="1" defaultMemberUniqueName="[fact_delays].[Delay_Category].[All]" allUniqueName="[fact_delays].[Delay_Category].[All]" dimensionUniqueName="[fact_delays]" displayFolder="" count="0" memberValueDatatype="130" unbalanced="0"/>
    <cacheHierarchy uniqueName="[fact_delays].[Delay_Minutes]" caption="Delay_Minutes" attribute="1" defaultMemberUniqueName="[fact_delays].[Delay_Minutes].[All]" allUniqueName="[fact_delays].[Delay_Minutes].[All]" dimensionUniqueName="[fact_delays]" displayFolder="" count="0" memberValueDatatype="20" unbalanced="0"/>
    <cacheHierarchy uniqueName="[fact_flights].[Flight_ID]" caption="Flight_ID" attribute="1" defaultMemberUniqueName="[fact_flights].[Flight_ID].[All]" allUniqueName="[fact_flights].[Flight_ID].[All]" dimensionUniqueName="[fact_flights]" displayFolder="" count="0" memberValueDatatype="20" unbalanced="0"/>
    <cacheHierarchy uniqueName="[fact_flights].[Flight_Date]" caption="Flight_Date" attribute="1" time="1" defaultMemberUniqueName="[fact_flights].[Flight_Date].[All]" allUniqueName="[fact_flights].[Flight_Date].[All]" dimensionUniqueName="[fact_flights]" displayFolder="" count="0" memberValueDatatype="7" unbalanced="0"/>
    <cacheHierarchy uniqueName="[fact_flights].[Airline_ID]" caption="Airline_ID" attribute="1" defaultMemberUniqueName="[fact_flights].[Airline_ID].[All]" allUniqueName="[fact_flights].[Airline_ID].[All]" dimensionUniqueName="[fact_flights]" displayFolder="" count="2" memberValueDatatype="20" unbalanced="0">
      <fieldsUsage count="2">
        <fieldUsage x="-1"/>
        <fieldUsage x="0"/>
      </fieldsUsage>
    </cacheHierarchy>
    <cacheHierarchy uniqueName="[fact_flights].[Aircraft_ID]" caption="Aircraft_ID" attribute="1" defaultMemberUniqueName="[fact_flights].[Aircraft_ID].[All]" allUniqueName="[fact_flights].[Aircraft_ID].[All]" dimensionUniqueName="[fact_flights]" displayFolder="" count="0" memberValueDatatype="20" unbalanced="0"/>
    <cacheHierarchy uniqueName="[fact_flights].[Departure_Airport_ID]" caption="Departure_Airport_ID" attribute="1" defaultMemberUniqueName="[fact_flights].[Departure_Airport_ID].[All]" allUniqueName="[fact_flights].[Departure_Airport_ID].[All]" dimensionUniqueName="[fact_flights]" displayFolder="" count="0" memberValueDatatype="20" unbalanced="0"/>
    <cacheHierarchy uniqueName="[fact_flights].[Arrival_Airport_ID]" caption="Arrival_Airport_ID" attribute="1" defaultMemberUniqueName="[fact_flights].[Arrival_Airport_ID].[All]" allUniqueName="[fact_flights].[Arrival_Airport_ID].[All]" dimensionUniqueName="[fact_flights]" displayFolder="" count="0" memberValueDatatype="20" unbalanced="0"/>
    <cacheHierarchy uniqueName="[fact_flights].[Scheduled_Departure]" caption="Scheduled_Departure" attribute="1" time="1" defaultMemberUniqueName="[fact_flights].[Scheduled_Departure].[All]" allUniqueName="[fact_flights].[Scheduled_Departure].[All]" dimensionUniqueName="[fact_flights]" displayFolder="" count="0" memberValueDatatype="7" unbalanced="0"/>
    <cacheHierarchy uniqueName="[fact_flights].[Actual_Departure]" caption="Actual_Departure" attribute="1" time="1" defaultMemberUniqueName="[fact_flights].[Actual_Departure].[All]" allUniqueName="[fact_flights].[Actual_Departure].[All]" dimensionUniqueName="[fact_flights]" displayFolder="" count="0" memberValueDatatype="7" unbalanced="0"/>
    <cacheHierarchy uniqueName="[fact_flights].[Scheduled_Arrival]" caption="Scheduled_Arrival" attribute="1" time="1" defaultMemberUniqueName="[fact_flights].[Scheduled_Arrival].[All]" allUniqueName="[fact_flights].[Scheduled_Arrival].[All]" dimensionUniqueName="[fact_flights]" displayFolder="" count="0" memberValueDatatype="7" unbalanced="0"/>
    <cacheHierarchy uniqueName="[fact_flights].[Actual_Arrival]" caption="Actual_Arrival" attribute="1" time="1" defaultMemberUniqueName="[fact_flights].[Actual_Arrival].[All]" allUniqueName="[fact_flights].[Actual_Arrival].[All]" dimensionUniqueName="[fact_flights]" displayFolder="" count="0" memberValueDatatype="7" unbalanced="0"/>
    <cacheHierarchy uniqueName="[fact_flights].[Passengers]" caption="Passengers" attribute="1" defaultMemberUniqueName="[fact_flights].[Passengers].[All]" allUniqueName="[fact_flights].[Passengers].[All]" dimensionUniqueName="[fact_flights]" displayFolder="" count="0" memberValueDatatype="20" unbalanced="0"/>
    <cacheHierarchy uniqueName="[fact_flights].[Flight_Status]" caption="Flight_Status" attribute="1" defaultMemberUniqueName="[fact_flights].[Flight_Status].[All]" allUniqueName="[fact_flights].[Flight_Status].[All]" dimensionUniqueName="[fact_flights]" displayFolder="" count="0" memberValueDatatype="130" unbalanced="0"/>
    <cacheHierarchy uniqueName="[fact_flights].[Flight_Date (Ay)]" caption="Flight_Date (Ay)" attribute="1" defaultMemberUniqueName="[fact_flights].[Flight_Date (Ay)].[All]" allUniqueName="[fact_flights].[Flight_Date (Ay)].[All]" dimensionUniqueName="[fact_flights]" displayFolder="" count="0" memberValueDatatype="130" unbalanced="0"/>
    <cacheHierarchy uniqueName="[fact_flights].[Flight_Date (Ay Dizini)]" caption="Flight_Date (Ay Dizini)" attribute="1" defaultMemberUniqueName="[fact_flights].[Flight_Date (Ay Dizini)].[All]" allUniqueName="[fact_flights].[Flight_Date (Ay Dizini)].[All]" dimensionUniqueName="[fact_flights]" displayFolder="" count="0" memberValueDatatype="20" unbalanced="0" hidden="1"/>
    <cacheHierarchy uniqueName="[Measures].[__XL_Count fact_delays]" caption="__XL_Count fact_delays" measure="1" displayFolder="" measureGroup="fact_delays" count="0" hidden="1"/>
    <cacheHierarchy uniqueName="[Measures].[__XL_Count fact_flights]" caption="__XL_Count fact_flights" measure="1" displayFolder="" measureGroup="fact_flights" count="0" hidden="1"/>
    <cacheHierarchy uniqueName="[Measures].[__No measures defined]" caption="__No measures defined" measure="1" displayFolder="" count="0" hidden="1"/>
    <cacheHierarchy uniqueName="[Measures].[Toplam veri: Delay_Minutes]" caption="Toplam veri: Delay_Minutes" measure="1" displayFolder="" measureGroup="fact_delay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Veri Ortalaması: Delay_Minutes]" caption="Veri Ortalaması: Delay_Minutes" measure="1" displayFolder="" measureGroup="fact_delay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plam veri: Flight_ID]" caption="Toplam veri: Flight_ID" measure="1" displayFolder="" measureGroup="fact_fligh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Veri Sayısı: Flight_ID]" caption="Veri Sayısı: Flight_ID" measure="1" displayFolder="" measureGroup="fact_fligh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fact_delays" uniqueName="[fact_delays]" caption="fact_delays"/>
    <dimension name="fact_flights" uniqueName="[fact_flights]" caption="fact_flights"/>
    <dimension measure="1" name="Measures" uniqueName="[Measures]" caption="Measures"/>
  </dimensions>
  <measureGroups count="2">
    <measureGroup name="fact_delays" caption="fact_delays"/>
    <measureGroup name="fact_flights" caption="fact_flight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ir Barış Ergin" refreshedDate="46184.854615625001" backgroundQuery="1" createdVersion="3" refreshedVersion="8" minRefreshableVersion="3" recordCount="0" supportSubquery="1" supportAdvancedDrill="1" xr:uid="{9B16F33B-459F-4C6C-BD4D-AFC7AD224BE1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3">
    <cacheHierarchy uniqueName="[fact_delays].[Delay_ID]" caption="Delay_ID" attribute="1" defaultMemberUniqueName="[fact_delays].[Delay_ID].[All]" allUniqueName="[fact_delays].[Delay_ID].[All]" dimensionUniqueName="[fact_delays]" displayFolder="" count="0" memberValueDatatype="20" unbalanced="0"/>
    <cacheHierarchy uniqueName="[fact_delays].[Flight_ID]" caption="Flight_ID" attribute="1" defaultMemberUniqueName="[fact_delays].[Flight_ID].[All]" allUniqueName="[fact_delays].[Flight_ID].[All]" dimensionUniqueName="[fact_delays]" displayFolder="" count="0" memberValueDatatype="20" unbalanced="0"/>
    <cacheHierarchy uniqueName="[fact_delays].[Delay_Category]" caption="Delay_Category" attribute="1" defaultMemberUniqueName="[fact_delays].[Delay_Category].[All]" allUniqueName="[fact_delays].[Delay_Category].[All]" dimensionUniqueName="[fact_delays]" displayFolder="" count="0" memberValueDatatype="130" unbalanced="0"/>
    <cacheHierarchy uniqueName="[fact_delays].[Delay_Minutes]" caption="Delay_Minutes" attribute="1" defaultMemberUniqueName="[fact_delays].[Delay_Minutes].[All]" allUniqueName="[fact_delays].[Delay_Minutes].[All]" dimensionUniqueName="[fact_delays]" displayFolder="" count="0" memberValueDatatype="20" unbalanced="0"/>
    <cacheHierarchy uniqueName="[fact_flights].[Flight_ID]" caption="Flight_ID" attribute="1" defaultMemberUniqueName="[fact_flights].[Flight_ID].[All]" allUniqueName="[fact_flights].[Flight_ID].[All]" dimensionUniqueName="[fact_flights]" displayFolder="" count="0" memberValueDatatype="20" unbalanced="0"/>
    <cacheHierarchy uniqueName="[fact_flights].[Flight_Date]" caption="Flight_Date" attribute="1" time="1" defaultMemberUniqueName="[fact_flights].[Flight_Date].[All]" allUniqueName="[fact_flights].[Flight_Date].[All]" dimensionUniqueName="[fact_flights]" displayFolder="" count="0" memberValueDatatype="7" unbalanced="0"/>
    <cacheHierarchy uniqueName="[fact_flights].[Airline_ID]" caption="Airline_ID" attribute="1" defaultMemberUniqueName="[fact_flights].[Airline_ID].[All]" allUniqueName="[fact_flights].[Airline_ID].[All]" dimensionUniqueName="[fact_flights]" displayFolder="" count="0" memberValueDatatype="20" unbalanced="0"/>
    <cacheHierarchy uniqueName="[fact_flights].[Aircraft_ID]" caption="Aircraft_ID" attribute="1" defaultMemberUniqueName="[fact_flights].[Aircraft_ID].[All]" allUniqueName="[fact_flights].[Aircraft_ID].[All]" dimensionUniqueName="[fact_flights]" displayFolder="" count="0" memberValueDatatype="20" unbalanced="0"/>
    <cacheHierarchy uniqueName="[fact_flights].[Departure_Airport_ID]" caption="Departure_Airport_ID" attribute="1" defaultMemberUniqueName="[fact_flights].[Departure_Airport_ID].[All]" allUniqueName="[fact_flights].[Departure_Airport_ID].[All]" dimensionUniqueName="[fact_flights]" displayFolder="" count="2" memberValueDatatype="20" unbalanced="0"/>
    <cacheHierarchy uniqueName="[fact_flights].[Arrival_Airport_ID]" caption="Arrival_Airport_ID" attribute="1" defaultMemberUniqueName="[fact_flights].[Arrival_Airport_ID].[All]" allUniqueName="[fact_flights].[Arrival_Airport_ID].[All]" dimensionUniqueName="[fact_flights]" displayFolder="" count="2" memberValueDatatype="20" unbalanced="0"/>
    <cacheHierarchy uniqueName="[fact_flights].[Scheduled_Departure]" caption="Scheduled_Departure" attribute="1" time="1" defaultMemberUniqueName="[fact_flights].[Scheduled_Departure].[All]" allUniqueName="[fact_flights].[Scheduled_Departure].[All]" dimensionUniqueName="[fact_flights]" displayFolder="" count="0" memberValueDatatype="7" unbalanced="0"/>
    <cacheHierarchy uniqueName="[fact_flights].[Actual_Departure]" caption="Actual_Departure" attribute="1" time="1" defaultMemberUniqueName="[fact_flights].[Actual_Departure].[All]" allUniqueName="[fact_flights].[Actual_Departure].[All]" dimensionUniqueName="[fact_flights]" displayFolder="" count="0" memberValueDatatype="7" unbalanced="0"/>
    <cacheHierarchy uniqueName="[fact_flights].[Scheduled_Arrival]" caption="Scheduled_Arrival" attribute="1" time="1" defaultMemberUniqueName="[fact_flights].[Scheduled_Arrival].[All]" allUniqueName="[fact_flights].[Scheduled_Arrival].[All]" dimensionUniqueName="[fact_flights]" displayFolder="" count="0" memberValueDatatype="7" unbalanced="0"/>
    <cacheHierarchy uniqueName="[fact_flights].[Actual_Arrival]" caption="Actual_Arrival" attribute="1" time="1" defaultMemberUniqueName="[fact_flights].[Actual_Arrival].[All]" allUniqueName="[fact_flights].[Actual_Arrival].[All]" dimensionUniqueName="[fact_flights]" displayFolder="" count="0" memberValueDatatype="7" unbalanced="0"/>
    <cacheHierarchy uniqueName="[fact_flights].[Passengers]" caption="Passengers" attribute="1" defaultMemberUniqueName="[fact_flights].[Passengers].[All]" allUniqueName="[fact_flights].[Passengers].[All]" dimensionUniqueName="[fact_flights]" displayFolder="" count="0" memberValueDatatype="20" unbalanced="0"/>
    <cacheHierarchy uniqueName="[fact_flights].[Flight_Status]" caption="Flight_Status" attribute="1" defaultMemberUniqueName="[fact_flights].[Flight_Status].[All]" allUniqueName="[fact_flights].[Flight_Status].[All]" dimensionUniqueName="[fact_flights]" displayFolder="" count="0" memberValueDatatype="130" unbalanced="0"/>
    <cacheHierarchy uniqueName="[fact_flights].[Flight_Date (Ay)]" caption="Flight_Date (Ay)" attribute="1" defaultMemberUniqueName="[fact_flights].[Flight_Date (Ay)].[All]" allUniqueName="[fact_flights].[Flight_Date (Ay)].[All]" dimensionUniqueName="[fact_flights]" displayFolder="" count="0" memberValueDatatype="130" unbalanced="0"/>
    <cacheHierarchy uniqueName="[fact_flights].[Flight_Date (Ay Dizini)]" caption="Flight_Date (Ay Dizini)" attribute="1" defaultMemberUniqueName="[fact_flights].[Flight_Date (Ay Dizini)].[All]" allUniqueName="[fact_flights].[Flight_Date (Ay Dizini)].[All]" dimensionUniqueName="[fact_flights]" displayFolder="" count="0" memberValueDatatype="20" unbalanced="0" hidden="1"/>
    <cacheHierarchy uniqueName="[Measures].[__XL_Count fact_delays]" caption="__XL_Count fact_delays" measure="1" displayFolder="" measureGroup="fact_delays" count="0" hidden="1"/>
    <cacheHierarchy uniqueName="[Measures].[__XL_Count fact_flights]" caption="__XL_Count fact_flights" measure="1" displayFolder="" measureGroup="fact_flights" count="0" hidden="1"/>
    <cacheHierarchy uniqueName="[Measures].[__No measures defined]" caption="__No measures defined" measure="1" displayFolder="" count="0" hidden="1"/>
    <cacheHierarchy uniqueName="[Measures].[Toplam veri: Delay_Minutes]" caption="Toplam veri: Delay_Minutes" measure="1" displayFolder="" measureGroup="fact_delay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Veri Ortalaması: Delay_Minutes]" caption="Veri Ortalaması: Delay_Minutes" measure="1" displayFolder="" measureGroup="fact_delay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268788385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1"/>
    <n v="1"/>
    <x v="0"/>
    <x v="0"/>
    <d v="1899-12-30T08:00:00"/>
    <d v="1899-12-30T08:05:00"/>
    <d v="1899-12-30T10:30:00"/>
    <d v="1899-12-30T10:45:00"/>
    <n v="172"/>
    <x v="0"/>
  </r>
  <r>
    <x v="1"/>
    <x v="0"/>
    <n v="2"/>
    <n v="3"/>
    <x v="1"/>
    <x v="1"/>
    <d v="1899-12-30T09:15:00"/>
    <d v="1899-12-30T09:40:00"/>
    <d v="1899-12-30T11:00:00"/>
    <d v="1899-12-30T11:25:00"/>
    <n v="160"/>
    <x v="1"/>
  </r>
  <r>
    <x v="2"/>
    <x v="1"/>
    <n v="3"/>
    <n v="2"/>
    <x v="2"/>
    <x v="2"/>
    <d v="1899-12-30T07:30:00"/>
    <d v="1899-12-30T07:30:00"/>
    <d v="1899-12-30T09:45:00"/>
    <d v="1899-12-30T09:40:00"/>
    <n v="210"/>
    <x v="0"/>
  </r>
  <r>
    <x v="3"/>
    <x v="1"/>
    <n v="1"/>
    <n v="4"/>
    <x v="0"/>
    <x v="3"/>
    <d v="1899-12-30T12:00:00"/>
    <d v="1899-12-30T12:20:00"/>
    <d v="1899-12-30T14:30:00"/>
    <d v="1899-12-30T14:55:00"/>
    <n v="198"/>
    <x v="1"/>
  </r>
  <r>
    <x v="4"/>
    <x v="2"/>
    <n v="4"/>
    <n v="5"/>
    <x v="3"/>
    <x v="2"/>
    <d v="1899-12-30T06:45:00"/>
    <d v="1899-12-30T06:50:00"/>
    <d v="1899-12-30T09:10:00"/>
    <d v="1899-12-30T09:20:00"/>
    <n v="280"/>
    <x v="0"/>
  </r>
  <r>
    <x v="5"/>
    <x v="2"/>
    <n v="5"/>
    <n v="3"/>
    <x v="4"/>
    <x v="4"/>
    <d v="1899-12-30T10:00:00"/>
    <d v="1899-12-30T10:05:00"/>
    <d v="1899-12-30T12:15:00"/>
    <d v="1899-12-30T12:15:00"/>
    <n v="145"/>
    <x v="0"/>
  </r>
  <r>
    <x v="6"/>
    <x v="3"/>
    <n v="2"/>
    <n v="1"/>
    <x v="5"/>
    <x v="5"/>
    <d v="1899-12-30T13:30:00"/>
    <d v="1899-12-30T14:10:00"/>
    <d v="1899-12-30T15:50:00"/>
    <d v="1899-12-30T16:25:00"/>
    <n v="155"/>
    <x v="1"/>
  </r>
  <r>
    <x v="7"/>
    <x v="3"/>
    <n v="3"/>
    <n v="2"/>
    <x v="6"/>
    <x v="0"/>
    <d v="1899-12-30T08:20:00"/>
    <d v="1899-12-30T08:20:00"/>
    <d v="1899-12-30T10:40:00"/>
    <d v="1899-12-30T10:35:00"/>
    <n v="180"/>
    <x v="0"/>
  </r>
  <r>
    <x v="8"/>
    <x v="4"/>
    <n v="1"/>
    <n v="4"/>
    <x v="0"/>
    <x v="6"/>
    <d v="1899-12-30T16:00:00"/>
    <d v="1899-12-30T16:00:00"/>
    <d v="1899-12-30T18:45:00"/>
    <d v="1899-12-30T18:50:00"/>
    <n v="190"/>
    <x v="0"/>
  </r>
  <r>
    <x v="9"/>
    <x v="4"/>
    <n v="2"/>
    <n v="3"/>
    <x v="1"/>
    <x v="3"/>
    <d v="1899-12-30T09:00:00"/>
    <d v="1899-12-30T09:25:00"/>
    <d v="1899-12-30T11:20:00"/>
    <d v="1899-12-30T11:55:00"/>
    <n v="165"/>
    <x v="1"/>
  </r>
  <r>
    <x v="10"/>
    <x v="5"/>
    <n v="4"/>
    <n v="5"/>
    <x v="3"/>
    <x v="7"/>
    <d v="1899-12-30T07:10:00"/>
    <d v="1899-12-30T07:10:00"/>
    <d v="1899-12-30T09:40:00"/>
    <d v="1899-12-30T09:50:00"/>
    <n v="260"/>
    <x v="0"/>
  </r>
  <r>
    <x v="11"/>
    <x v="5"/>
    <n v="5"/>
    <n v="2"/>
    <x v="7"/>
    <x v="2"/>
    <d v="1899-12-30T11:30:00"/>
    <d v="1899-12-30T11:35:00"/>
    <d v="1899-12-30T14:00:00"/>
    <d v="1899-12-30T14:10:00"/>
    <n v="220"/>
    <x v="0"/>
  </r>
  <r>
    <x v="12"/>
    <x v="6"/>
    <n v="1"/>
    <n v="1"/>
    <x v="0"/>
    <x v="1"/>
    <d v="1899-12-30T14:00:00"/>
    <d v="1899-12-30T14:00:00"/>
    <d v="1899-12-30T16:10:00"/>
    <d v="1899-12-30T16:05:00"/>
    <n v="175"/>
    <x v="0"/>
  </r>
  <r>
    <x v="13"/>
    <x v="6"/>
    <n v="3"/>
    <n v="3"/>
    <x v="2"/>
    <x v="5"/>
    <d v="1899-12-30T06:50:00"/>
    <d v="1899-12-30T07:20:00"/>
    <d v="1899-12-30T09:20:00"/>
    <d v="1899-12-30T09:55:00"/>
    <n v="185"/>
    <x v="1"/>
  </r>
  <r>
    <x v="14"/>
    <x v="7"/>
    <n v="2"/>
    <n v="4"/>
    <x v="1"/>
    <x v="0"/>
    <d v="1899-12-30T17:00:00"/>
    <d v="1899-12-30T17:05:00"/>
    <d v="1899-12-30T19:30:00"/>
    <d v="1899-12-30T19:40:00"/>
    <n v="200"/>
    <x v="0"/>
  </r>
  <r>
    <x v="15"/>
    <x v="7"/>
    <n v="4"/>
    <n v="5"/>
    <x v="4"/>
    <x v="2"/>
    <d v="1899-12-30T09:10:00"/>
    <d v="1899-12-30T09:10:00"/>
    <d v="1899-12-30T11:40:00"/>
    <d v="1899-12-30T11:35:00"/>
    <n v="275"/>
    <x v="0"/>
  </r>
  <r>
    <x v="16"/>
    <x v="8"/>
    <n v="5"/>
    <n v="2"/>
    <x v="8"/>
    <x v="8"/>
    <d v="1899-12-30T08:00:00"/>
    <d v="1899-12-30T08:25:00"/>
    <d v="1899-12-30T10:20:00"/>
    <d v="1899-12-30T10:50:00"/>
    <n v="215"/>
    <x v="1"/>
  </r>
  <r>
    <x v="17"/>
    <x v="8"/>
    <n v="1"/>
    <n v="1"/>
    <x v="0"/>
    <x v="3"/>
    <d v="1899-12-30T12:45:00"/>
    <d v="1899-12-30T12:45:00"/>
    <d v="1899-12-30T15:00:00"/>
    <d v="1899-12-30T15:10:00"/>
    <n v="170"/>
    <x v="0"/>
  </r>
  <r>
    <x v="18"/>
    <x v="9"/>
    <n v="2"/>
    <n v="3"/>
    <x v="5"/>
    <x v="0"/>
    <d v="1899-12-30T06:30:00"/>
    <d v="1899-12-30T06:30:00"/>
    <d v="1899-12-30T08:50:00"/>
    <d v="1899-12-30T08:45:00"/>
    <n v="150"/>
    <x v="0"/>
  </r>
  <r>
    <x v="19"/>
    <x v="9"/>
    <n v="3"/>
    <n v="2"/>
    <x v="6"/>
    <x v="6"/>
    <d v="1899-12-30T13:20:00"/>
    <d v="1899-12-30T13:50:00"/>
    <d v="1899-12-30T15:40:00"/>
    <d v="1899-12-30T16:10:00"/>
    <n v="190"/>
    <x v="1"/>
  </r>
  <r>
    <x v="20"/>
    <x v="10"/>
    <n v="4"/>
    <n v="5"/>
    <x v="3"/>
    <x v="3"/>
    <d v="1899-12-30T10:15:00"/>
    <d v="1899-12-30T10:15:00"/>
    <d v="1899-12-30T12:45:00"/>
    <d v="1899-12-30T12:50:00"/>
    <n v="285"/>
    <x v="0"/>
  </r>
  <r>
    <x v="21"/>
    <x v="10"/>
    <n v="5"/>
    <n v="4"/>
    <x v="7"/>
    <x v="4"/>
    <d v="1899-12-30T07:40:00"/>
    <d v="1899-12-30T07:40:00"/>
    <d v="1899-12-30T10:10:00"/>
    <d v="1899-12-30T10:05:00"/>
    <n v="225"/>
    <x v="0"/>
  </r>
  <r>
    <x v="22"/>
    <x v="11"/>
    <n v="1"/>
    <n v="1"/>
    <x v="0"/>
    <x v="5"/>
    <d v="1899-12-30T18:00:00"/>
    <d v="1899-12-30T18:20:00"/>
    <d v="1899-12-30T20:30:00"/>
    <d v="1899-12-30T21:05:00"/>
    <n v="178"/>
    <x v="1"/>
  </r>
  <r>
    <x v="23"/>
    <x v="11"/>
    <n v="2"/>
    <n v="3"/>
    <x v="1"/>
    <x v="6"/>
    <d v="1899-12-30T09:50:00"/>
    <d v="1899-12-30T09:50:00"/>
    <d v="1899-12-30T12:00:00"/>
    <d v="1899-12-30T11:55:00"/>
    <n v="160"/>
    <x v="0"/>
  </r>
  <r>
    <x v="24"/>
    <x v="12"/>
    <n v="3"/>
    <n v="2"/>
    <x v="2"/>
    <x v="7"/>
    <d v="1899-12-30T11:00:00"/>
    <d v="1899-12-30T11:05:00"/>
    <d v="1899-12-30T13:10:00"/>
    <d v="1899-12-30T13:25:00"/>
    <n v="205"/>
    <x v="1"/>
  </r>
  <r>
    <x v="25"/>
    <x v="12"/>
    <n v="4"/>
    <n v="5"/>
    <x v="3"/>
    <x v="2"/>
    <d v="1899-12-30T06:40:00"/>
    <d v="1899-12-30T06:45:00"/>
    <d v="1899-12-30T09:10:00"/>
    <d v="1899-12-30T09:20:00"/>
    <n v="290"/>
    <x v="0"/>
  </r>
  <r>
    <x v="26"/>
    <x v="13"/>
    <n v="1"/>
    <n v="2"/>
    <x v="0"/>
    <x v="6"/>
    <d v="1899-12-30T08:10:00"/>
    <d v="1899-12-30T08:35:00"/>
    <d v="1899-12-30T10:50:00"/>
    <d v="1899-12-30T11:20:00"/>
    <n v="180"/>
    <x v="1"/>
  </r>
  <r>
    <x v="27"/>
    <x v="13"/>
    <n v="2"/>
    <n v="1"/>
    <x v="1"/>
    <x v="9"/>
    <d v="1899-12-30T09:00:00"/>
    <d v="1899-12-30T09:00:00"/>
    <d v="1899-12-30T11:10:00"/>
    <d v="1899-12-30T11:05:00"/>
    <n v="155"/>
    <x v="0"/>
  </r>
  <r>
    <x v="28"/>
    <x v="14"/>
    <n v="3"/>
    <n v="3"/>
    <x v="2"/>
    <x v="0"/>
    <d v="1899-12-30T07:20:00"/>
    <d v="1899-12-30T07:20:00"/>
    <d v="1899-12-30T09:40:00"/>
    <d v="1899-12-30T09:50:00"/>
    <n v="195"/>
    <x v="0"/>
  </r>
  <r>
    <x v="29"/>
    <x v="14"/>
    <n v="5"/>
    <n v="4"/>
    <x v="8"/>
    <x v="2"/>
    <d v="1899-12-30T13:00:00"/>
    <d v="1899-12-30T13:25:00"/>
    <d v="1899-12-30T15:30:00"/>
    <d v="1899-12-30T16:05:00"/>
    <n v="230"/>
    <x v="1"/>
  </r>
  <r>
    <x v="30"/>
    <x v="15"/>
    <n v="4"/>
    <n v="5"/>
    <x v="3"/>
    <x v="3"/>
    <d v="1899-12-30T06:55:00"/>
    <d v="1899-12-30T06:55:00"/>
    <d v="1899-12-30T09:25:00"/>
    <d v="1899-12-30T09:30:00"/>
    <n v="275"/>
    <x v="0"/>
  </r>
  <r>
    <x v="31"/>
    <x v="15"/>
    <n v="1"/>
    <n v="1"/>
    <x v="0"/>
    <x v="7"/>
    <d v="1899-12-30T11:10:00"/>
    <d v="1899-12-30T11:10:00"/>
    <d v="1899-12-30T13:30:00"/>
    <d v="1899-12-30T13:25:00"/>
    <n v="175"/>
    <x v="0"/>
  </r>
  <r>
    <x v="32"/>
    <x v="16"/>
    <n v="2"/>
    <n v="3"/>
    <x v="1"/>
    <x v="5"/>
    <d v="1899-12-30T08:45:00"/>
    <d v="1899-12-30T09:10:00"/>
    <d v="1899-12-30T11:05:00"/>
    <d v="1899-12-30T11:40:00"/>
    <n v="165"/>
    <x v="1"/>
  </r>
  <r>
    <x v="33"/>
    <x v="16"/>
    <n v="3"/>
    <n v="2"/>
    <x v="6"/>
    <x v="2"/>
    <d v="1899-12-30T14:00:00"/>
    <d v="1899-12-30T14:00:00"/>
    <d v="1899-12-30T16:10:00"/>
    <d v="1899-12-30T16:05:00"/>
    <n v="185"/>
    <x v="0"/>
  </r>
  <r>
    <x v="34"/>
    <x v="17"/>
    <n v="5"/>
    <n v="4"/>
    <x v="4"/>
    <x v="8"/>
    <d v="1899-12-30T07:00:00"/>
    <d v="1899-12-30T07:00:00"/>
    <d v="1899-12-30T09:15:00"/>
    <d v="1899-12-30T09:10:00"/>
    <n v="210"/>
    <x v="0"/>
  </r>
  <r>
    <x v="35"/>
    <x v="17"/>
    <n v="1"/>
    <n v="2"/>
    <x v="0"/>
    <x v="1"/>
    <d v="1899-12-30T16:10:00"/>
    <d v="1899-12-30T16:40:00"/>
    <d v="1899-12-30T18:30:00"/>
    <d v="1899-12-30T19:05:00"/>
    <n v="182"/>
    <x v="1"/>
  </r>
  <r>
    <x v="36"/>
    <x v="18"/>
    <n v="4"/>
    <n v="5"/>
    <x v="3"/>
    <x v="4"/>
    <d v="1899-12-30T09:30:00"/>
    <d v="1899-12-30T09:30:00"/>
    <d v="1899-12-30T12:00:00"/>
    <d v="1899-12-30T12:10:00"/>
    <n v="295"/>
    <x v="0"/>
  </r>
  <r>
    <x v="37"/>
    <x v="18"/>
    <n v="2"/>
    <n v="1"/>
    <x v="7"/>
    <x v="2"/>
    <d v="1899-12-30T06:50:00"/>
    <d v="1899-12-30T06:50:00"/>
    <d v="1899-12-30T09:20:00"/>
    <d v="1899-12-30T09:15:00"/>
    <n v="210"/>
    <x v="0"/>
  </r>
  <r>
    <x v="38"/>
    <x v="19"/>
    <n v="3"/>
    <n v="3"/>
    <x v="2"/>
    <x v="6"/>
    <d v="1899-12-30T12:10:00"/>
    <d v="1899-12-30T12:40:00"/>
    <d v="1899-12-30T14:30:00"/>
    <d v="1899-12-30T15:05:00"/>
    <n v="200"/>
    <x v="1"/>
  </r>
  <r>
    <x v="39"/>
    <x v="19"/>
    <n v="5"/>
    <n v="4"/>
    <x v="8"/>
    <x v="0"/>
    <d v="1899-12-30T10:00:00"/>
    <d v="1899-12-30T10:00:00"/>
    <d v="1899-12-30T12:15:00"/>
    <d v="1899-12-30T12:10:00"/>
    <n v="225"/>
    <x v="0"/>
  </r>
  <r>
    <x v="40"/>
    <x v="20"/>
    <n v="1"/>
    <n v="1"/>
    <x v="0"/>
    <x v="9"/>
    <d v="1899-12-30T08:00:00"/>
    <d v="1899-12-30T08:00:00"/>
    <d v="1899-12-30T10:10:00"/>
    <d v="1899-12-30T10:05:00"/>
    <n v="170"/>
    <x v="0"/>
  </r>
  <r>
    <x v="41"/>
    <x v="20"/>
    <n v="2"/>
    <n v="3"/>
    <x v="1"/>
    <x v="3"/>
    <d v="1899-12-30T13:20:00"/>
    <d v="1899-12-30T13:50:00"/>
    <d v="1899-12-30T15:40:00"/>
    <d v="1899-12-30T16:15:00"/>
    <n v="160"/>
    <x v="1"/>
  </r>
  <r>
    <x v="42"/>
    <x v="21"/>
    <n v="3"/>
    <n v="2"/>
    <x v="6"/>
    <x v="1"/>
    <d v="1899-12-30T07:45:00"/>
    <d v="1899-12-30T07:45:00"/>
    <d v="1899-12-30T09:55:00"/>
    <d v="1899-12-30T09:50:00"/>
    <n v="190"/>
    <x v="0"/>
  </r>
  <r>
    <x v="43"/>
    <x v="21"/>
    <n v="4"/>
    <n v="5"/>
    <x v="3"/>
    <x v="6"/>
    <d v="1899-12-30T15:10:00"/>
    <d v="1899-12-30T15:10:00"/>
    <d v="1899-12-30T17:40:00"/>
    <d v="1899-12-30T17:50:00"/>
    <n v="280"/>
    <x v="0"/>
  </r>
  <r>
    <x v="44"/>
    <x v="22"/>
    <n v="1"/>
    <n v="2"/>
    <x v="0"/>
    <x v="5"/>
    <d v="1899-12-30T06:30:00"/>
    <d v="1899-12-30T06:55:00"/>
    <d v="1899-12-30T08:50:00"/>
    <d v="1899-12-30T09:25:00"/>
    <n v="185"/>
    <x v="1"/>
  </r>
  <r>
    <x v="45"/>
    <x v="22"/>
    <n v="5"/>
    <n v="4"/>
    <x v="9"/>
    <x v="8"/>
    <d v="1899-12-30T11:30:00"/>
    <d v="1899-12-30T11:30:00"/>
    <d v="1899-12-30T13:40:00"/>
    <d v="1899-12-30T13:35:00"/>
    <n v="240"/>
    <x v="0"/>
  </r>
  <r>
    <x v="46"/>
    <x v="23"/>
    <n v="2"/>
    <n v="1"/>
    <x v="1"/>
    <x v="0"/>
    <d v="1899-12-30T09:10:00"/>
    <d v="1899-12-30T09:10:00"/>
    <d v="1899-12-30T11:30:00"/>
    <d v="1899-12-30T11:25:00"/>
    <n v="150"/>
    <x v="0"/>
  </r>
  <r>
    <x v="47"/>
    <x v="23"/>
    <n v="3"/>
    <n v="3"/>
    <x v="2"/>
    <x v="3"/>
    <d v="1899-12-30T14:20:00"/>
    <d v="1899-12-30T14:50:00"/>
    <d v="1899-12-30T16:40:00"/>
    <d v="1899-12-30T17:15:00"/>
    <n v="205"/>
    <x v="1"/>
  </r>
  <r>
    <x v="48"/>
    <x v="24"/>
    <n v="4"/>
    <n v="5"/>
    <x v="3"/>
    <x v="5"/>
    <d v="1899-12-30T07:00:00"/>
    <d v="1899-12-30T07:00:00"/>
    <d v="1899-12-30T09:30:00"/>
    <d v="1899-12-30T09:35:00"/>
    <n v="290"/>
    <x v="0"/>
  </r>
  <r>
    <x v="49"/>
    <x v="24"/>
    <n v="1"/>
    <n v="1"/>
    <x v="0"/>
    <x v="6"/>
    <d v="1899-12-30T12:00:00"/>
    <d v="1899-12-30T12:00:00"/>
    <d v="1899-12-30T14:10:00"/>
    <d v="1899-12-30T14:05:00"/>
    <n v="178"/>
    <x v="0"/>
  </r>
  <r>
    <x v="50"/>
    <x v="25"/>
    <n v="2"/>
    <n v="1"/>
    <x v="1"/>
    <x v="7"/>
    <d v="1899-12-30T08:00:00"/>
    <d v="1899-12-30T08:00:00"/>
    <d v="1899-12-30T10:20:00"/>
    <d v="1899-12-30T10:15:00"/>
    <n v="160"/>
    <x v="0"/>
  </r>
  <r>
    <x v="51"/>
    <x v="25"/>
    <n v="3"/>
    <n v="3"/>
    <x v="6"/>
    <x v="0"/>
    <d v="1899-12-30T09:10:00"/>
    <d v="1899-12-30T09:40:00"/>
    <d v="1899-12-30T11:30:00"/>
    <d v="1899-12-30T12:05:00"/>
    <n v="185"/>
    <x v="1"/>
  </r>
  <r>
    <x v="52"/>
    <x v="26"/>
    <n v="1"/>
    <n v="2"/>
    <x v="0"/>
    <x v="1"/>
    <d v="1899-12-30T06:45:00"/>
    <d v="1899-12-30T06:45:00"/>
    <d v="1899-12-30T09:00:00"/>
    <d v="1899-12-30T08:55:00"/>
    <n v="175"/>
    <x v="0"/>
  </r>
  <r>
    <x v="53"/>
    <x v="26"/>
    <n v="4"/>
    <n v="5"/>
    <x v="3"/>
    <x v="3"/>
    <d v="1899-12-30T13:00:00"/>
    <d v="1899-12-30T13:00:00"/>
    <d v="1899-12-30T15:30:00"/>
    <d v="1899-12-30T15:35:00"/>
    <n v="290"/>
    <x v="0"/>
  </r>
  <r>
    <x v="54"/>
    <x v="27"/>
    <n v="5"/>
    <n v="4"/>
    <x v="4"/>
    <x v="4"/>
    <d v="1899-12-30T07:20:00"/>
    <d v="1899-12-30T07:50:00"/>
    <d v="1899-12-30T09:40:00"/>
    <d v="1899-12-30T10:20:00"/>
    <n v="230"/>
    <x v="1"/>
  </r>
  <r>
    <x v="55"/>
    <x v="27"/>
    <n v="2"/>
    <n v="1"/>
    <x v="2"/>
    <x v="2"/>
    <d v="1899-12-30T10:00:00"/>
    <d v="1899-12-30T10:00:00"/>
    <d v="1899-12-30T12:10:00"/>
    <d v="1899-12-30T12:05:00"/>
    <n v="155"/>
    <x v="0"/>
  </r>
  <r>
    <x v="56"/>
    <x v="28"/>
    <n v="3"/>
    <n v="3"/>
    <x v="6"/>
    <x v="5"/>
    <d v="1899-12-30T08:30:00"/>
    <d v="1899-12-30T08:30:00"/>
    <d v="1899-12-30T10:50:00"/>
    <d v="1899-12-30T10:45:00"/>
    <n v="195"/>
    <x v="0"/>
  </r>
  <r>
    <x v="57"/>
    <x v="28"/>
    <n v="1"/>
    <n v="2"/>
    <x v="0"/>
    <x v="6"/>
    <d v="1899-12-30T14:00:00"/>
    <d v="1899-12-30T14:25:00"/>
    <d v="1899-12-30T16:20:00"/>
    <d v="1899-12-30T16:55:00"/>
    <n v="180"/>
    <x v="1"/>
  </r>
  <r>
    <x v="58"/>
    <x v="29"/>
    <n v="4"/>
    <n v="5"/>
    <x v="3"/>
    <x v="7"/>
    <d v="1899-12-30T06:50:00"/>
    <d v="1899-12-30T06:50:00"/>
    <d v="1899-12-30T09:20:00"/>
    <d v="1899-12-30T09:25:00"/>
    <n v="300"/>
    <x v="0"/>
  </r>
  <r>
    <x v="59"/>
    <x v="29"/>
    <n v="2"/>
    <n v="1"/>
    <x v="1"/>
    <x v="3"/>
    <d v="1899-12-30T12:10:00"/>
    <d v="1899-12-30T12:10:00"/>
    <d v="1899-12-30T14:20:00"/>
    <d v="1899-12-30T14:15:00"/>
    <n v="165"/>
    <x v="0"/>
  </r>
  <r>
    <x v="60"/>
    <x v="30"/>
    <n v="5"/>
    <n v="4"/>
    <x v="8"/>
    <x v="8"/>
    <d v="1899-12-30T07:00:00"/>
    <d v="1899-12-30T07:30:00"/>
    <d v="1899-12-30T09:10:00"/>
    <d v="1899-12-30T09:50:00"/>
    <n v="240"/>
    <x v="1"/>
  </r>
  <r>
    <x v="61"/>
    <x v="30"/>
    <n v="3"/>
    <n v="3"/>
    <x v="6"/>
    <x v="1"/>
    <d v="1899-12-30T09:20:00"/>
    <d v="1899-12-30T09:20:00"/>
    <d v="1899-12-30T11:40:00"/>
    <d v="1899-12-30T11:35:00"/>
    <n v="190"/>
    <x v="0"/>
  </r>
  <r>
    <x v="62"/>
    <x v="31"/>
    <n v="1"/>
    <n v="1"/>
    <x v="0"/>
    <x v="0"/>
    <d v="1899-12-30T08:10:00"/>
    <d v="1899-12-30T08:10:00"/>
    <d v="1899-12-30T10:30:00"/>
    <d v="1899-12-30T10:25:00"/>
    <n v="172"/>
    <x v="0"/>
  </r>
  <r>
    <x v="63"/>
    <x v="31"/>
    <n v="2"/>
    <n v="2"/>
    <x v="1"/>
    <x v="6"/>
    <d v="1899-12-30T13:30:00"/>
    <d v="1899-12-30T14:00:00"/>
    <d v="1899-12-30T15:50:00"/>
    <d v="1899-12-30T16:30:00"/>
    <n v="185"/>
    <x v="1"/>
  </r>
  <r>
    <x v="64"/>
    <x v="32"/>
    <n v="4"/>
    <n v="5"/>
    <x v="3"/>
    <x v="2"/>
    <d v="1899-12-30T06:40:00"/>
    <d v="1899-12-30T06:40:00"/>
    <d v="1899-12-30T09:00:00"/>
    <d v="1899-12-30T08:55:00"/>
    <n v="295"/>
    <x v="0"/>
  </r>
  <r>
    <x v="65"/>
    <x v="32"/>
    <n v="3"/>
    <n v="3"/>
    <x v="2"/>
    <x v="3"/>
    <d v="1899-12-30T11:00:00"/>
    <d v="1899-12-30T11:00:00"/>
    <d v="1899-12-30T13:20:00"/>
    <d v="1899-12-30T13:25:00"/>
    <n v="200"/>
    <x v="0"/>
  </r>
  <r>
    <x v="66"/>
    <x v="33"/>
    <n v="1"/>
    <n v="2"/>
    <x v="0"/>
    <x v="5"/>
    <d v="1899-12-30T07:30:00"/>
    <d v="1899-12-30T07:55:00"/>
    <d v="1899-12-30T09:50:00"/>
    <d v="1899-12-30T10:25:00"/>
    <n v="178"/>
    <x v="1"/>
  </r>
  <r>
    <x v="67"/>
    <x v="33"/>
    <n v="5"/>
    <n v="4"/>
    <x v="9"/>
    <x v="0"/>
    <d v="1899-12-30T10:00:00"/>
    <d v="1899-12-30T10:00:00"/>
    <d v="1899-12-30T12:10:00"/>
    <d v="1899-12-30T12:05:00"/>
    <n v="250"/>
    <x v="0"/>
  </r>
  <r>
    <x v="68"/>
    <x v="34"/>
    <n v="2"/>
    <n v="1"/>
    <x v="1"/>
    <x v="9"/>
    <d v="1899-12-30T08:00:00"/>
    <d v="1899-12-30T08:00:00"/>
    <d v="1899-12-30T10:10:00"/>
    <d v="1899-12-30T10:05:00"/>
    <n v="160"/>
    <x v="0"/>
  </r>
  <r>
    <x v="69"/>
    <x v="34"/>
    <n v="3"/>
    <n v="3"/>
    <x v="6"/>
    <x v="6"/>
    <d v="1899-12-30T14:10:00"/>
    <d v="1899-12-30T14:40:00"/>
    <d v="1899-12-30T16:30:00"/>
    <d v="1899-12-30T17:05:00"/>
    <n v="195"/>
    <x v="1"/>
  </r>
  <r>
    <x v="70"/>
    <x v="35"/>
    <n v="4"/>
    <n v="5"/>
    <x v="3"/>
    <x v="3"/>
    <d v="1899-12-30T06:50:00"/>
    <d v="1899-12-30T06:50:00"/>
    <d v="1899-12-30T09:20:00"/>
    <d v="1899-12-30T09:25:00"/>
    <n v="285"/>
    <x v="0"/>
  </r>
  <r>
    <x v="71"/>
    <x v="35"/>
    <n v="1"/>
    <n v="1"/>
    <x v="0"/>
    <x v="1"/>
    <d v="1899-12-30T12:00:00"/>
    <d v="1899-12-30T12:00:00"/>
    <d v="1899-12-30T14:10:00"/>
    <d v="1899-12-30T14:05:00"/>
    <n v="170"/>
    <x v="0"/>
  </r>
  <r>
    <x v="72"/>
    <x v="36"/>
    <n v="2"/>
    <n v="2"/>
    <x v="1"/>
    <x v="7"/>
    <d v="1899-12-30T09:10:00"/>
    <d v="1899-12-30T09:40:00"/>
    <d v="1899-12-30T11:30:00"/>
    <d v="1899-12-30T12:10:00"/>
    <n v="165"/>
    <x v="1"/>
  </r>
  <r>
    <x v="73"/>
    <x v="36"/>
    <n v="5"/>
    <n v="4"/>
    <x v="4"/>
    <x v="2"/>
    <d v="1899-12-30T07:20:00"/>
    <d v="1899-12-30T07:20:00"/>
    <d v="1899-12-30T09:40:00"/>
    <d v="1899-12-30T09:35:00"/>
    <n v="235"/>
    <x v="0"/>
  </r>
  <r>
    <x v="74"/>
    <x v="37"/>
    <n v="3"/>
    <n v="3"/>
    <x v="2"/>
    <x v="0"/>
    <d v="1899-12-30T08:30:00"/>
    <d v="1899-12-30T08:30:00"/>
    <d v="1899-12-30T10:50:00"/>
    <d v="1899-12-30T10:45:00"/>
    <n v="190"/>
    <x v="0"/>
  </r>
  <r>
    <x v="75"/>
    <x v="37"/>
    <n v="1"/>
    <n v="2"/>
    <x v="0"/>
    <x v="3"/>
    <d v="1899-12-30T13:00:00"/>
    <d v="1899-12-30T13:25:00"/>
    <d v="1899-12-30T15:20:00"/>
    <d v="1899-12-30T15:55:00"/>
    <n v="180"/>
    <x v="1"/>
  </r>
  <r>
    <x v="76"/>
    <x v="38"/>
    <n v="4"/>
    <n v="5"/>
    <x v="3"/>
    <x v="5"/>
    <d v="1899-12-30T06:45:00"/>
    <d v="1899-12-30T06:45:00"/>
    <d v="1899-12-30T09:15:00"/>
    <d v="1899-12-30T09:20:00"/>
    <n v="290"/>
    <x v="0"/>
  </r>
  <r>
    <x v="77"/>
    <x v="38"/>
    <n v="2"/>
    <n v="1"/>
    <x v="1"/>
    <x v="1"/>
    <d v="1899-12-30T11:00:00"/>
    <d v="1899-12-30T11:00:00"/>
    <d v="1899-12-30T13:10:00"/>
    <d v="1899-12-30T13:05:00"/>
    <n v="150"/>
    <x v="0"/>
  </r>
  <r>
    <x v="78"/>
    <x v="39"/>
    <n v="3"/>
    <n v="3"/>
    <x v="6"/>
    <x v="7"/>
    <d v="1899-12-30T09:30:00"/>
    <d v="1899-12-30T10:00:00"/>
    <d v="1899-12-30T11:50:00"/>
    <d v="1899-12-30T12:30:00"/>
    <n v="205"/>
    <x v="1"/>
  </r>
  <r>
    <x v="79"/>
    <x v="39"/>
    <n v="1"/>
    <n v="1"/>
    <x v="0"/>
    <x v="6"/>
    <d v="1899-12-30T07:00:00"/>
    <d v="1899-12-30T07:00:00"/>
    <d v="1899-12-30T09:10:00"/>
    <d v="1899-12-30T09:05:00"/>
    <n v="175"/>
    <x v="0"/>
  </r>
  <r>
    <x v="80"/>
    <x v="40"/>
    <n v="5"/>
    <n v="4"/>
    <x v="8"/>
    <x v="0"/>
    <d v="1899-12-30T12:10:00"/>
    <d v="1899-12-30T12:10:00"/>
    <d v="1899-12-30T14:30:00"/>
    <d v="1899-12-30T14:25:00"/>
    <n v="245"/>
    <x v="0"/>
  </r>
  <r>
    <x v="81"/>
    <x v="40"/>
    <n v="2"/>
    <n v="2"/>
    <x v="1"/>
    <x v="3"/>
    <d v="1899-12-30T08:20:00"/>
    <d v="1899-12-30T08:50:00"/>
    <d v="1899-12-30T10:40:00"/>
    <d v="1899-12-30T11:15:00"/>
    <n v="160"/>
    <x v="1"/>
  </r>
  <r>
    <x v="82"/>
    <x v="41"/>
    <n v="3"/>
    <n v="3"/>
    <x v="2"/>
    <x v="2"/>
    <d v="1899-12-30T06:50:00"/>
    <d v="1899-12-30T06:50:00"/>
    <d v="1899-12-30T09:00:00"/>
    <d v="1899-12-30T08:55:00"/>
    <n v="195"/>
    <x v="0"/>
  </r>
  <r>
    <x v="83"/>
    <x v="41"/>
    <n v="4"/>
    <n v="5"/>
    <x v="3"/>
    <x v="6"/>
    <d v="1899-12-30T14:00:00"/>
    <d v="1899-12-30T14:00:00"/>
    <d v="1899-12-30T16:30:00"/>
    <d v="1899-12-30T16:35:00"/>
    <n v="300"/>
    <x v="0"/>
  </r>
  <r>
    <x v="84"/>
    <x v="42"/>
    <n v="1"/>
    <n v="2"/>
    <x v="0"/>
    <x v="7"/>
    <d v="1899-12-30T09:10:00"/>
    <d v="1899-12-30T09:35:00"/>
    <d v="1899-12-30T11:20:00"/>
    <d v="1899-12-30T11:55:00"/>
    <n v="180"/>
    <x v="1"/>
  </r>
  <r>
    <x v="85"/>
    <x v="42"/>
    <n v="2"/>
    <n v="1"/>
    <x v="1"/>
    <x v="0"/>
    <d v="1899-12-30T07:40:00"/>
    <d v="1899-12-30T07:40:00"/>
    <d v="1899-12-30T09:50:00"/>
    <d v="1899-12-30T09:45:00"/>
    <n v="155"/>
    <x v="0"/>
  </r>
  <r>
    <x v="86"/>
    <x v="43"/>
    <n v="5"/>
    <n v="4"/>
    <x v="4"/>
    <x v="8"/>
    <d v="1899-12-30T10:00:00"/>
    <d v="1899-12-30T10:00:00"/>
    <d v="1899-12-30T12:10:00"/>
    <d v="1899-12-30T12:05:00"/>
    <n v="230"/>
    <x v="0"/>
  </r>
  <r>
    <x v="87"/>
    <x v="43"/>
    <n v="3"/>
    <n v="3"/>
    <x v="6"/>
    <x v="3"/>
    <d v="1899-12-30T13:30:00"/>
    <d v="1899-12-30T14:00:00"/>
    <d v="1899-12-30T15:40:00"/>
    <d v="1899-12-30T16:20:00"/>
    <n v="190"/>
    <x v="1"/>
  </r>
  <r>
    <x v="88"/>
    <x v="44"/>
    <n v="1"/>
    <n v="1"/>
    <x v="0"/>
    <x v="1"/>
    <d v="1899-12-30T06:45:00"/>
    <d v="1899-12-30T06:45:00"/>
    <d v="1899-12-30T08:55:00"/>
    <d v="1899-12-30T08:50:00"/>
    <n v="172"/>
    <x v="0"/>
  </r>
  <r>
    <x v="89"/>
    <x v="44"/>
    <n v="4"/>
    <n v="5"/>
    <x v="3"/>
    <x v="7"/>
    <d v="1899-12-30T11:00:00"/>
    <d v="1899-12-30T11:00:00"/>
    <d v="1899-12-30T13:30:00"/>
    <d v="1899-12-30T13:35:00"/>
    <n v="295"/>
    <x v="0"/>
  </r>
  <r>
    <x v="90"/>
    <x v="45"/>
    <n v="2"/>
    <n v="2"/>
    <x v="1"/>
    <x v="5"/>
    <d v="1899-12-30T08:10:00"/>
    <d v="1899-12-30T08:40:00"/>
    <d v="1899-12-30T10:20:00"/>
    <d v="1899-12-30T10:55:00"/>
    <n v="165"/>
    <x v="1"/>
  </r>
  <r>
    <x v="91"/>
    <x v="45"/>
    <n v="3"/>
    <n v="3"/>
    <x v="2"/>
    <x v="0"/>
    <d v="1899-12-30T07:00:00"/>
    <d v="1899-12-30T07:00:00"/>
    <d v="1899-12-30T09:10:00"/>
    <d v="1899-12-30T09:05:00"/>
    <n v="190"/>
    <x v="0"/>
  </r>
  <r>
    <x v="92"/>
    <x v="46"/>
    <n v="1"/>
    <n v="2"/>
    <x v="0"/>
    <x v="3"/>
    <d v="1899-12-30T12:30:00"/>
    <d v="1899-12-30T12:30:00"/>
    <d v="1899-12-30T14:40:00"/>
    <d v="1899-12-30T14:35:00"/>
    <n v="180"/>
    <x v="0"/>
  </r>
  <r>
    <x v="93"/>
    <x v="46"/>
    <n v="5"/>
    <n v="4"/>
    <x v="8"/>
    <x v="6"/>
    <d v="1899-12-30T09:20:00"/>
    <d v="1899-12-30T09:50:00"/>
    <d v="1899-12-30T11:40:00"/>
    <d v="1899-12-30T12:20:00"/>
    <n v="240"/>
    <x v="1"/>
  </r>
  <r>
    <x v="94"/>
    <x v="47"/>
    <n v="2"/>
    <n v="1"/>
    <x v="1"/>
    <x v="9"/>
    <d v="1899-12-30T06:50:00"/>
    <d v="1899-12-30T06:50:00"/>
    <d v="1899-12-30T09:00:00"/>
    <d v="1899-12-30T08:55:00"/>
    <n v="155"/>
    <x v="0"/>
  </r>
  <r>
    <x v="95"/>
    <x v="47"/>
    <n v="4"/>
    <n v="5"/>
    <x v="3"/>
    <x v="2"/>
    <d v="1899-12-30T13:00:00"/>
    <d v="1899-12-30T13:00:00"/>
    <d v="1899-12-30T15:30:00"/>
    <d v="1899-12-30T15:35:00"/>
    <n v="300"/>
    <x v="0"/>
  </r>
  <r>
    <x v="96"/>
    <x v="48"/>
    <n v="3"/>
    <n v="3"/>
    <x v="6"/>
    <x v="1"/>
    <d v="1899-12-30T08:30:00"/>
    <d v="1899-12-30T09:00:00"/>
    <d v="1899-12-30T10:40:00"/>
    <d v="1899-12-30T11:20:00"/>
    <n v="195"/>
    <x v="1"/>
  </r>
  <r>
    <x v="97"/>
    <x v="48"/>
    <n v="1"/>
    <n v="1"/>
    <x v="0"/>
    <x v="0"/>
    <d v="1899-12-30T07:10:00"/>
    <d v="1899-12-30T07:10:00"/>
    <d v="1899-12-30T09:20:00"/>
    <d v="1899-12-30T09:15:00"/>
    <n v="175"/>
    <x v="0"/>
  </r>
  <r>
    <x v="98"/>
    <x v="49"/>
    <n v="2"/>
    <n v="2"/>
    <x v="1"/>
    <x v="6"/>
    <d v="1899-12-30T10:00:00"/>
    <d v="1899-12-30T10:00:00"/>
    <d v="1899-12-30T12:10:00"/>
    <d v="1899-12-30T12:05:00"/>
    <n v="160"/>
    <x v="0"/>
  </r>
  <r>
    <x v="99"/>
    <x v="49"/>
    <n v="5"/>
    <n v="4"/>
    <x v="9"/>
    <x v="3"/>
    <d v="1899-12-30T14:20:00"/>
    <d v="1899-12-30T14:50:00"/>
    <d v="1899-12-30T16:50:00"/>
    <d v="1899-12-30T17:30:00"/>
    <n v="25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1"/>
    <x v="0"/>
    <x v="0"/>
    <n v="35"/>
  </r>
  <r>
    <n v="2"/>
    <x v="1"/>
    <x v="1"/>
    <n v="28"/>
  </r>
  <r>
    <n v="3"/>
    <x v="2"/>
    <x v="2"/>
    <n v="42"/>
  </r>
  <r>
    <n v="4"/>
    <x v="3"/>
    <x v="3"/>
    <n v="25"/>
  </r>
  <r>
    <n v="5"/>
    <x v="4"/>
    <x v="0"/>
    <n v="50"/>
  </r>
  <r>
    <n v="6"/>
    <x v="5"/>
    <x v="4"/>
    <n v="38"/>
  </r>
  <r>
    <n v="7"/>
    <x v="6"/>
    <x v="2"/>
    <n v="45"/>
  </r>
  <r>
    <n v="8"/>
    <x v="7"/>
    <x v="1"/>
    <n v="30"/>
  </r>
  <r>
    <n v="9"/>
    <x v="8"/>
    <x v="0"/>
    <n v="33"/>
  </r>
  <r>
    <n v="10"/>
    <x v="9"/>
    <x v="3"/>
    <n v="40"/>
  </r>
  <r>
    <n v="11"/>
    <x v="10"/>
    <x v="2"/>
    <n v="55"/>
  </r>
  <r>
    <n v="12"/>
    <x v="11"/>
    <x v="4"/>
    <n v="47"/>
  </r>
  <r>
    <n v="13"/>
    <x v="12"/>
    <x v="1"/>
    <n v="29"/>
  </r>
  <r>
    <n v="14"/>
    <x v="13"/>
    <x v="0"/>
    <n v="60"/>
  </r>
  <r>
    <n v="15"/>
    <x v="14"/>
    <x v="3"/>
    <n v="35"/>
  </r>
  <r>
    <n v="16"/>
    <x v="15"/>
    <x v="2"/>
    <n v="52"/>
  </r>
  <r>
    <n v="17"/>
    <x v="16"/>
    <x v="1"/>
    <n v="41"/>
  </r>
  <r>
    <n v="18"/>
    <x v="17"/>
    <x v="0"/>
    <n v="48"/>
  </r>
  <r>
    <n v="19"/>
    <x v="18"/>
    <x v="4"/>
    <n v="36"/>
  </r>
  <r>
    <n v="20"/>
    <x v="19"/>
    <x v="3"/>
    <n v="44"/>
  </r>
  <r>
    <n v="21"/>
    <x v="20"/>
    <x v="2"/>
    <n v="58"/>
  </r>
  <r>
    <n v="22"/>
    <x v="21"/>
    <x v="0"/>
    <n v="39"/>
  </r>
  <r>
    <n v="23"/>
    <x v="22"/>
    <x v="1"/>
    <n v="46"/>
  </r>
  <r>
    <n v="24"/>
    <x v="23"/>
    <x v="3"/>
    <n v="34"/>
  </r>
  <r>
    <n v="25"/>
    <x v="24"/>
    <x v="2"/>
    <n v="53"/>
  </r>
  <r>
    <n v="26"/>
    <x v="25"/>
    <x v="0"/>
    <n v="62"/>
  </r>
  <r>
    <n v="27"/>
    <x v="26"/>
    <x v="4"/>
    <n v="37"/>
  </r>
  <r>
    <n v="28"/>
    <x v="27"/>
    <x v="1"/>
    <n v="43"/>
  </r>
  <r>
    <n v="29"/>
    <x v="28"/>
    <x v="3"/>
    <n v="31"/>
  </r>
  <r>
    <n v="30"/>
    <x v="29"/>
    <x v="2"/>
    <n v="57"/>
  </r>
  <r>
    <n v="31"/>
    <x v="30"/>
    <x v="0"/>
    <n v="49"/>
  </r>
  <r>
    <n v="32"/>
    <x v="31"/>
    <x v="1"/>
    <n v="44"/>
  </r>
  <r>
    <n v="33"/>
    <x v="32"/>
    <x v="4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6144D-2A89-4F30-B308-178D1AAA08F4}" name="PivotTable19" cacheId="14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I15:AK21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eri Sayısı: Flight_ID" fld="1" subtotal="count" baseField="0" baseItem="0"/>
    <dataField name="Veri Ortalaması: Delay_Minutes" fld="2" subtotal="average" baseField="0" baseItem="0" numFmtId="180"/>
  </dataFields>
  <formats count="25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Veri Ortalaması: Delay_Minutes"/>
    <pivotHierarchy dragToData="1"/>
    <pivotHierarchy dragToData="1" caption="Veri Sayısı: Flight_ID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flights]"/>
        <x15:activeTabTopLevelEntity name="[fact_delay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14C17-ABFB-46EE-9B4F-3A3CB3454AF1}" name="PivotTable17" cacheId="13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J63:K72" firstHeaderRow="1" firstDataRow="1" firstDataCol="1"/>
  <pivotFields count="3">
    <pivotField axis="axisRow" allDrilled="1" subtotalTop="0" showAll="0" dataSourceSort="1" defaultSubtotal="0" defaultAttributeDrillState="1">
      <items count="8">
        <item x="0" e="0"/>
        <item x="1" e="0"/>
        <item x="2" e="0"/>
        <item x="3" e="0"/>
        <item x="4" e="0"/>
        <item x="5" e="0"/>
        <item x="6" e="0"/>
        <item x="7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Veri Ortalaması: Delay_Minutes" fld="2" subtotal="average" baseField="0" baseItem="0" numFmtId="180"/>
  </dataFields>
  <formats count="19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2">
      <pivotArea dataOnly="0" labelOnly="1" outline="0" axis="axisValues" fieldPosition="0"/>
    </format>
    <format dxfId="4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Veri Ortalaması: Delay_Minutes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flights]"/>
        <x15:activeTabTopLevelEntity name="[fact_delay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70BF3-6B2C-42EE-BA97-B47BC5BE8687}" name="PivotTable15" cacheId="11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B62:C72" firstHeaderRow="1" firstDataRow="1" firstDataCol="1"/>
  <pivotFields count="14">
    <pivotField dataField="1"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axis="axisRow" showAll="0">
      <items count="11">
        <item x="2"/>
        <item x="4"/>
        <item x="8"/>
        <item x="9"/>
        <item x="1"/>
        <item x="0"/>
        <item x="6"/>
        <item x="3"/>
        <item x="5"/>
        <item x="7"/>
        <item t="default"/>
      </items>
    </pivotField>
    <pivotField numFmtId="20" showAll="0"/>
    <pivotField numFmtId="20" showAll="0"/>
    <pivotField numFmtId="20" showAll="0"/>
    <pivotField numFmtId="20" showAll="0"/>
    <pivotField showAll="0"/>
    <pivotField showAll="0">
      <items count="3">
        <item h="1" x="0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0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ay Flight_ID" fld="0" subtotal="count" baseField="5" baseItem="0"/>
  </dataFields>
  <formats count="24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5" type="button" dataOnly="0" labelOnly="1" outline="0" axis="axisRow" fieldPosition="0"/>
    </format>
    <format dxfId="64">
      <pivotArea dataOnly="0" labelOnly="1" fieldPosition="0">
        <references count="1">
          <reference field="5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5" type="button" dataOnly="0" labelOnly="1" outline="0" axis="axisRow" fieldPosition="0"/>
    </format>
    <format dxfId="58">
      <pivotArea dataOnly="0" labelOnly="1" fieldPosition="0">
        <references count="1">
          <reference field="5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5" type="button" dataOnly="0" labelOnly="1" outline="0" axis="axisRow" fieldPosition="0"/>
    </format>
    <format dxfId="52">
      <pivotArea dataOnly="0" labelOnly="1" fieldPosition="0">
        <references count="1">
          <reference field="5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5" type="button" dataOnly="0" labelOnly="1" outline="0" axis="axisRow" fieldPosition="0"/>
    </format>
    <format dxfId="46">
      <pivotArea dataOnly="0" labelOnly="1" fieldPosition="0">
        <references count="1">
          <reference field="5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EAD6C-17D0-4CB4-B786-DD1EF2D25FD0}" name="PivotTable14" cacheId="11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T33:U42" firstHeaderRow="1" firstDataRow="1" firstDataCol="1"/>
  <pivotFields count="14">
    <pivotField dataField="1"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axis="axisRow" showAll="0">
      <items count="11">
        <item x="0"/>
        <item x="1"/>
        <item x="2"/>
        <item x="6"/>
        <item x="5"/>
        <item x="3"/>
        <item x="4"/>
        <item x="7"/>
        <item x="8"/>
        <item x="9"/>
        <item t="default"/>
      </items>
    </pivotField>
    <pivotField showAll="0"/>
    <pivotField numFmtId="20" showAll="0"/>
    <pivotField numFmtId="20" showAll="0"/>
    <pivotField numFmtId="20" showAll="0"/>
    <pivotField numFmtId="20" showAll="0"/>
    <pivotField showAll="0"/>
    <pivotField showAll="0">
      <items count="3">
        <item h="1" x="0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6"/>
    </i>
    <i>
      <x v="8"/>
    </i>
    <i>
      <x v="9"/>
    </i>
    <i t="grand">
      <x/>
    </i>
  </rowItems>
  <colItems count="1">
    <i/>
  </colItems>
  <dataFields count="1">
    <dataField name="Say Flight_ID" fld="0" subtotal="count" baseField="4" baseItem="0"/>
  </dataFields>
  <formats count="24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4" type="button" dataOnly="0" labelOnly="1" outline="0" axis="axisRow" fieldPosition="0"/>
    </format>
    <format dxfId="88">
      <pivotArea dataOnly="0" labelOnly="1" fieldPosition="0">
        <references count="1">
          <reference field="4" count="8">
            <x v="0"/>
            <x v="1"/>
            <x v="2"/>
            <x v="3"/>
            <x v="4"/>
            <x v="6"/>
            <x v="8"/>
            <x v="9"/>
          </reference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4" type="button" dataOnly="0" labelOnly="1" outline="0" axis="axisRow" fieldPosition="0"/>
    </format>
    <format dxfId="82">
      <pivotArea dataOnly="0" labelOnly="1" fieldPosition="0">
        <references count="1">
          <reference field="4" count="8">
            <x v="0"/>
            <x v="1"/>
            <x v="2"/>
            <x v="3"/>
            <x v="4"/>
            <x v="6"/>
            <x v="8"/>
            <x v="9"/>
          </reference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4" type="button" dataOnly="0" labelOnly="1" outline="0" axis="axisRow" fieldPosition="0"/>
    </format>
    <format dxfId="76">
      <pivotArea dataOnly="0" labelOnly="1" fieldPosition="0">
        <references count="1">
          <reference field="4" count="8">
            <x v="0"/>
            <x v="1"/>
            <x v="2"/>
            <x v="3"/>
            <x v="4"/>
            <x v="6"/>
            <x v="8"/>
            <x v="9"/>
          </reference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4" type="button" dataOnly="0" labelOnly="1" outline="0" axis="axisRow" fieldPosition="0"/>
    </format>
    <format dxfId="70">
      <pivotArea dataOnly="0" labelOnly="1" fieldPosition="0">
        <references count="1">
          <reference field="4" count="8">
            <x v="0"/>
            <x v="1"/>
            <x v="2"/>
            <x v="3"/>
            <x v="4"/>
            <x v="6"/>
            <x v="8"/>
            <x v="9"/>
          </reference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DF359-CADB-44D1-AC4C-82D7DBA40B66}" name="PivotTable12" cacheId="13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J33:K36" firstHeaderRow="1" firstDataRow="1" firstDataCol="1"/>
  <pivotFields count="3"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allDrilled="1" subtotalTop="0" showAll="0" dataSourceSort="1" defaultSubtotal="0">
      <items count="2">
        <item x="0" e="0"/>
        <item x="1" e="0"/>
      </items>
    </pivotField>
    <pivotField dataField="1" subtotalTop="0" showAll="0" defaultSubtotal="0"/>
  </pivotFields>
  <rowFields count="2">
    <field x="1"/>
    <field x="0"/>
  </rowFields>
  <rowItems count="3">
    <i>
      <x/>
    </i>
    <i>
      <x v="1"/>
    </i>
    <i t="grand">
      <x/>
    </i>
  </rowItems>
  <colItems count="1">
    <i/>
  </colItems>
  <dataFields count="1">
    <dataField name="Veri Ortalaması: Delay_Minutes" fld="2" subtotal="average" baseField="1" baseItem="0" numFmtId="180"/>
  </dataFields>
  <formats count="25"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" type="button" dataOnly="0" labelOnly="1" outline="0" axis="axisRow" fieldPosition="0"/>
    </format>
    <format dxfId="137">
      <pivotArea dataOnly="0" labelOnly="1" fieldPosition="0">
        <references count="1">
          <reference field="1" count="0"/>
        </references>
      </pivotArea>
    </format>
    <format dxfId="136">
      <pivotArea dataOnly="0" labelOnly="1" grandRow="1" outline="0" fieldPosition="0"/>
    </format>
    <format dxfId="135">
      <pivotArea dataOnly="0" labelOnly="1" outline="0" axis="axisValues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1" type="button" dataOnly="0" labelOnly="1" outline="0" axis="axisRow" fieldPosition="0"/>
    </format>
    <format dxfId="131">
      <pivotArea dataOnly="0" labelOnly="1" fieldPosition="0">
        <references count="1">
          <reference field="1" count="0"/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" type="button" dataOnly="0" labelOnly="1" outline="0" axis="axisRow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" type="button" dataOnly="0" labelOnly="1" outline="0" axis="axisRow" fieldPosition="0"/>
    </format>
    <format dxfId="119">
      <pivotArea dataOnly="0" labelOnly="1" fieldPosition="0">
        <references count="1">
          <reference field="1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  <format dxfId="116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Veri Ortalaması: Delay_Minutes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elays]"/>
        <x15:activeTabTopLevelEntity name="[fact_fligh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10812-F5FE-4788-97B2-4EBF53F4FD23}" name="PivotTable9" cacheId="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4">
  <location ref="B33:C39" firstHeaderRow="1" firstDataRow="1" firstDataCol="1"/>
  <pivotFields count="4"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talama Delay_Minutes" fld="3" subtotal="average" baseField="2" baseItem="0"/>
  </dataFields>
  <formats count="26"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2" type="button" dataOnly="0" labelOnly="1" outline="0" axis="axisRow" fieldPosition="0"/>
    </format>
    <format dxfId="163">
      <pivotArea dataOnly="0" labelOnly="1" fieldPosition="0">
        <references count="1">
          <reference field="2" count="0"/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2" type="button" dataOnly="0" labelOnly="1" outline="0" axis="axisRow" fieldPosition="0"/>
    </format>
    <format dxfId="157">
      <pivotArea dataOnly="0" labelOnly="1" fieldPosition="0">
        <references count="1">
          <reference field="2" count="0"/>
        </references>
      </pivotArea>
    </format>
    <format dxfId="156">
      <pivotArea dataOnly="0" labelOnly="1" grandRow="1" outline="0" fieldPosition="0"/>
    </format>
    <format dxfId="155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2" type="button" dataOnly="0" labelOnly="1" outline="0" axis="axisRow" fieldPosition="0"/>
    </format>
    <format dxfId="151">
      <pivotArea dataOnly="0" labelOnly="1" fieldPosition="0">
        <references count="1">
          <reference field="2" count="0"/>
        </references>
      </pivotArea>
    </format>
    <format dxfId="150">
      <pivotArea dataOnly="0" labelOnly="1" grandRow="1" outline="0" fieldPosition="0"/>
    </format>
    <format dxfId="149">
      <pivotArea dataOnly="0" labelOnly="1" outline="0" axis="axisValues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2" type="button" dataOnly="0" labelOnly="1" outline="0" axis="axisRow" fieldPosition="0"/>
    </format>
    <format dxfId="145">
      <pivotArea dataOnly="0" labelOnly="1" fieldPosition="0">
        <references count="1">
          <reference field="2" count="0"/>
        </references>
      </pivotArea>
    </format>
    <format dxfId="144">
      <pivotArea dataOnly="0" labelOnly="1" grandRow="1" outline="0" fieldPosition="0"/>
    </format>
    <format dxfId="143">
      <pivotArea dataOnly="0" labelOnly="1" outline="0" axis="axisValues" fieldPosition="0"/>
    </format>
    <format dxfId="142">
      <pivotArea collapsedLevelsAreSubtotals="1" fieldPosition="0">
        <references count="1">
          <reference field="2" count="0"/>
        </references>
      </pivotArea>
    </format>
    <format dxfId="141">
      <pivotArea grandRow="1" outline="0" collapsedLevelsAreSubtotals="1" fieldPosition="0"/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D5E04-3E12-4ACC-A06B-AA543CF6B396}" name="PivotTable8" cacheId="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R4:S10" firstHeaderRow="1" firstDataRow="1" firstDataCol="1"/>
  <pivotFields count="4">
    <pivotField showAll="0"/>
    <pivotField dataField="1"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y Flight_ID" fld="1" subtotal="count" baseField="2" baseItem="0"/>
  </dataFields>
  <formats count="24"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2" type="button" dataOnly="0" labelOnly="1" outline="0" axis="axisRow" fieldPosition="0"/>
    </format>
    <format dxfId="187">
      <pivotArea dataOnly="0" labelOnly="1" fieldPosition="0">
        <references count="1">
          <reference field="2" count="0"/>
        </references>
      </pivotArea>
    </format>
    <format dxfId="186">
      <pivotArea dataOnly="0" labelOnly="1" grandRow="1" outline="0" fieldPosition="0"/>
    </format>
    <format dxfId="185">
      <pivotArea dataOnly="0" labelOnly="1" outline="0" axis="axisValues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2" type="button" dataOnly="0" labelOnly="1" outline="0" axis="axisRow" fieldPosition="0"/>
    </format>
    <format dxfId="181">
      <pivotArea dataOnly="0" labelOnly="1" fieldPosition="0">
        <references count="1">
          <reference field="2" count="0"/>
        </references>
      </pivotArea>
    </format>
    <format dxfId="180">
      <pivotArea dataOnly="0" labelOnly="1" grandRow="1" outline="0" fieldPosition="0"/>
    </format>
    <format dxfId="179">
      <pivotArea dataOnly="0" labelOnly="1" outline="0" axis="axisValues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2" type="button" dataOnly="0" labelOnly="1" outline="0" axis="axisRow" fieldPosition="0"/>
    </format>
    <format dxfId="175">
      <pivotArea dataOnly="0" labelOnly="1" fieldPosition="0">
        <references count="1">
          <reference field="2" count="0"/>
        </references>
      </pivotArea>
    </format>
    <format dxfId="174">
      <pivotArea dataOnly="0" labelOnly="1" grandRow="1" outline="0" fieldPosition="0"/>
    </format>
    <format dxfId="173">
      <pivotArea dataOnly="0" labelOnly="1" outline="0" axis="axisValues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2" type="button" dataOnly="0" labelOnly="1" outline="0" axis="axisRow" fieldPosition="0"/>
    </format>
    <format dxfId="169">
      <pivotArea dataOnly="0" labelOnly="1" fieldPosition="0">
        <references count="1">
          <reference field="2" count="0"/>
        </references>
      </pivotArea>
    </format>
    <format dxfId="168">
      <pivotArea dataOnly="0" labelOnly="1" grandRow="1" outline="0" fieldPosition="0"/>
    </format>
    <format dxfId="167">
      <pivotArea dataOnly="0" labelOnly="1" outline="0" axis="axisValues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9C3D5-0217-48B0-AB32-9FC5658243AC}" name="PivotTable7" cacheId="11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6">
  <location ref="H4:I7" firstHeaderRow="1" firstDataRow="1" firstDataCol="1"/>
  <pivotFields count="14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numFmtId="20" showAll="0"/>
    <pivotField numFmtId="20" showAll="0"/>
    <pivotField numFmtId="20" showAll="0"/>
    <pivotField numFmtId="20" showAll="0"/>
    <pivotField showAll="0"/>
    <pivotField showAll="0">
      <items count="3">
        <item x="0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1"/>
  </rowFields>
  <rowItems count="3">
    <i>
      <x v="1"/>
    </i>
    <i>
      <x v="2"/>
    </i>
    <i t="grand">
      <x/>
    </i>
  </rowItems>
  <colItems count="1">
    <i/>
  </colItems>
  <dataFields count="1">
    <dataField name="Say Flight_ID" fld="0" subtotal="count" baseField="13" baseItem="1"/>
  </dataFields>
  <formats count="24"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13" type="button" dataOnly="0" labelOnly="1" outline="0" axis="axisRow" fieldPosition="0"/>
    </format>
    <format dxfId="211">
      <pivotArea dataOnly="0" labelOnly="1" fieldPosition="0">
        <references count="1">
          <reference field="13" count="2">
            <x v="1"/>
            <x v="2"/>
          </reference>
        </references>
      </pivotArea>
    </format>
    <format dxfId="210">
      <pivotArea dataOnly="0" labelOnly="1" grandRow="1" outline="0" fieldPosition="0"/>
    </format>
    <format dxfId="209">
      <pivotArea dataOnly="0" labelOnly="1" outline="0" axis="axisValues" fieldPosition="0"/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13" type="button" dataOnly="0" labelOnly="1" outline="0" axis="axisRow" fieldPosition="0"/>
    </format>
    <format dxfId="205">
      <pivotArea dataOnly="0" labelOnly="1" fieldPosition="0">
        <references count="1">
          <reference field="13" count="2">
            <x v="1"/>
            <x v="2"/>
          </reference>
        </references>
      </pivotArea>
    </format>
    <format dxfId="204">
      <pivotArea dataOnly="0" labelOnly="1" grandRow="1" outline="0" fieldPosition="0"/>
    </format>
    <format dxfId="203">
      <pivotArea dataOnly="0" labelOnly="1" outline="0" axis="axisValues" fieldPosition="0"/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13" type="button" dataOnly="0" labelOnly="1" outline="0" axis="axisRow" fieldPosition="0"/>
    </format>
    <format dxfId="199">
      <pivotArea dataOnly="0" labelOnly="1" fieldPosition="0">
        <references count="1">
          <reference field="13" count="2">
            <x v="1"/>
            <x v="2"/>
          </reference>
        </references>
      </pivotArea>
    </format>
    <format dxfId="198">
      <pivotArea dataOnly="0" labelOnly="1" grandRow="1" outline="0" fieldPosition="0"/>
    </format>
    <format dxfId="197">
      <pivotArea dataOnly="0" labelOnly="1" outline="0" axis="axisValues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13" type="button" dataOnly="0" labelOnly="1" outline="0" axis="axisRow" fieldPosition="0"/>
    </format>
    <format dxfId="193">
      <pivotArea dataOnly="0" labelOnly="1" fieldPosition="0">
        <references count="1">
          <reference field="13" count="2">
            <x v="1"/>
            <x v="2"/>
          </reference>
        </references>
      </pivotArea>
    </format>
    <format dxfId="192">
      <pivotArea dataOnly="0" labelOnly="1" grandRow="1" outline="0" fieldPosition="0"/>
    </format>
    <format dxfId="191">
      <pivotArea dataOnly="0" labelOnly="1" outline="0" axis="axisValues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77407-65D2-4C0A-8449-0EBCDC3A8C42}" name="PivotTable6" cacheId="11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B4:C7" firstHeaderRow="1" firstDataRow="1" firstDataCol="1"/>
  <pivotFields count="14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numFmtId="20" showAll="0"/>
    <pivotField numFmtId="20" showAll="0"/>
    <pivotField numFmtId="20" showAll="0"/>
    <pivotField numFmtId="20" showAll="0"/>
    <pivotField dataField="1" showAll="0"/>
    <pivotField axis="axisRow"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Toplam Passengers" fld="10" baseField="0" baseItem="0"/>
  </dataFields>
  <formats count="24">
    <format dxfId="238">
      <pivotArea type="all" dataOnly="0" outline="0" fieldPosition="0"/>
    </format>
    <format dxfId="237">
      <pivotArea outline="0" collapsedLevelsAreSubtotals="1" fieldPosition="0"/>
    </format>
    <format dxfId="236">
      <pivotArea field="11" type="button" dataOnly="0" labelOnly="1" outline="0" axis="axisRow" fieldPosition="0"/>
    </format>
    <format dxfId="235">
      <pivotArea dataOnly="0" labelOnly="1" fieldPosition="0">
        <references count="1">
          <reference field="11" count="0"/>
        </references>
      </pivotArea>
    </format>
    <format dxfId="234">
      <pivotArea dataOnly="0" labelOnly="1" grandRow="1" outline="0" fieldPosition="0"/>
    </format>
    <format dxfId="233">
      <pivotArea dataOnly="0" labelOnly="1" outline="0" axis="axisValues" fieldPosition="0"/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field="11" type="button" dataOnly="0" labelOnly="1" outline="0" axis="axisRow" fieldPosition="0"/>
    </format>
    <format dxfId="229">
      <pivotArea dataOnly="0" labelOnly="1" fieldPosition="0">
        <references count="1">
          <reference field="11" count="0"/>
        </references>
      </pivotArea>
    </format>
    <format dxfId="228">
      <pivotArea dataOnly="0" labelOnly="1" grandRow="1" outline="0" fieldPosition="0"/>
    </format>
    <format dxfId="227">
      <pivotArea dataOnly="0" labelOnly="1" outline="0" axis="axisValues" fieldPosition="0"/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11" type="button" dataOnly="0" labelOnly="1" outline="0" axis="axisRow" fieldPosition="0"/>
    </format>
    <format dxfId="223">
      <pivotArea dataOnly="0" labelOnly="1" fieldPosition="0">
        <references count="1">
          <reference field="11" count="0"/>
        </references>
      </pivotArea>
    </format>
    <format dxfId="222">
      <pivotArea dataOnly="0" labelOnly="1" grandRow="1" outline="0" fieldPosition="0"/>
    </format>
    <format dxfId="221">
      <pivotArea dataOnly="0" labelOnly="1" outline="0" axis="axisValues" fieldPosition="0"/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11" type="button" dataOnly="0" labelOnly="1" outline="0" axis="axisRow" fieldPosition="0"/>
    </format>
    <format dxfId="217">
      <pivotArea dataOnly="0" labelOnly="1" fieldPosition="0">
        <references count="1">
          <reference field="11" count="0"/>
        </references>
      </pivotArea>
    </format>
    <format dxfId="216">
      <pivotArea dataOnly="0" labelOnly="1" grandRow="1" outline="0" fieldPosition="0"/>
    </format>
    <format dxfId="215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040C4-4F93-40C2-87A7-4406059E1869}" name="PivotTable13" cacheId="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36:D47" firstHeaderRow="1" firstDataRow="1" firstDataCol="1"/>
  <pivotFields count="4">
    <pivotField showAll="0"/>
    <pivotField axis="axisRow" showAll="0" measureFilter="1" sortType="descending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11">
    <i>
      <x v="25"/>
    </i>
    <i>
      <x v="13"/>
    </i>
    <i>
      <x v="20"/>
    </i>
    <i>
      <x v="29"/>
    </i>
    <i>
      <x v="10"/>
    </i>
    <i>
      <x v="24"/>
    </i>
    <i>
      <x v="15"/>
    </i>
    <i>
      <x v="4"/>
    </i>
    <i>
      <x v="30"/>
    </i>
    <i>
      <x v="17"/>
    </i>
    <i t="grand">
      <x/>
    </i>
  </rowItems>
  <colItems count="1">
    <i/>
  </colItems>
  <dataFields count="1">
    <dataField name="Mak Delay_Minutes" fld="3" subtotal="max" baseField="1" baseItem="1"/>
  </dataFields>
  <formats count="24">
    <format dxfId="92">
      <pivotArea type="all" dataOnly="0" outline="0" fieldPosition="0"/>
    </format>
    <format dxfId="93">
      <pivotArea outline="0" collapsedLevelsAreSubtotals="1" fieldPosition="0"/>
    </format>
    <format dxfId="94">
      <pivotArea field="1" type="button" dataOnly="0" labelOnly="1" outline="0" axis="axisRow" fieldPosition="0"/>
    </format>
    <format dxfId="95">
      <pivotArea dataOnly="0" labelOnly="1" fieldPosition="0">
        <references count="1">
          <reference field="1" count="10">
            <x v="4"/>
            <x v="10"/>
            <x v="13"/>
            <x v="15"/>
            <x v="17"/>
            <x v="20"/>
            <x v="24"/>
            <x v="25"/>
            <x v="29"/>
            <x v="30"/>
          </reference>
        </references>
      </pivotArea>
    </format>
    <format dxfId="96">
      <pivotArea dataOnly="0" labelOnly="1" grandRow="1" outline="0" fieldPosition="0"/>
    </format>
    <format dxfId="97">
      <pivotArea dataOnly="0" labelOnly="1" outline="0" axis="axisValues" fieldPosition="0"/>
    </format>
    <format dxfId="98">
      <pivotArea type="all" dataOnly="0" outline="0" fieldPosition="0"/>
    </format>
    <format dxfId="99">
      <pivotArea outline="0" collapsedLevelsAreSubtotals="1" fieldPosition="0"/>
    </format>
    <format dxfId="100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10">
            <x v="4"/>
            <x v="10"/>
            <x v="13"/>
            <x v="15"/>
            <x v="17"/>
            <x v="20"/>
            <x v="24"/>
            <x v="25"/>
            <x v="29"/>
            <x v="30"/>
          </reference>
        </references>
      </pivotArea>
    </format>
    <format dxfId="102">
      <pivotArea dataOnly="0" labelOnly="1" grandRow="1" outline="0" fieldPosition="0"/>
    </format>
    <format dxfId="103">
      <pivotArea dataOnly="0" labelOnly="1" outline="0" axis="axisValues" fieldPosition="0"/>
    </format>
    <format dxfId="104">
      <pivotArea type="all" dataOnly="0" outline="0" fieldPosition="0"/>
    </format>
    <format dxfId="105">
      <pivotArea outline="0" collapsedLevelsAreSubtotals="1" fieldPosition="0"/>
    </format>
    <format dxfId="106">
      <pivotArea field="1" type="button" dataOnly="0" labelOnly="1" outline="0" axis="axisRow" fieldPosition="0"/>
    </format>
    <format dxfId="107">
      <pivotArea dataOnly="0" labelOnly="1" fieldPosition="0">
        <references count="1">
          <reference field="1" count="10">
            <x v="4"/>
            <x v="10"/>
            <x v="13"/>
            <x v="15"/>
            <x v="17"/>
            <x v="20"/>
            <x v="24"/>
            <x v="25"/>
            <x v="29"/>
            <x v="30"/>
          </reference>
        </references>
      </pivotArea>
    </format>
    <format dxfId="108">
      <pivotArea dataOnly="0" labelOnly="1" grandRow="1" outline="0" fieldPosition="0"/>
    </format>
    <format dxfId="109">
      <pivotArea dataOnly="0" labelOnly="1" outline="0" axis="axisValues" fieldPosition="0"/>
    </format>
    <format dxfId="110">
      <pivotArea type="all" dataOnly="0" outline="0" fieldPosition="0"/>
    </format>
    <format dxfId="111">
      <pivotArea outline="0" collapsedLevelsAreSubtotals="1" fieldPosition="0"/>
    </format>
    <format dxfId="112">
      <pivotArea field="1" type="button" dataOnly="0" labelOnly="1" outline="0" axis="axisRow" fieldPosition="0"/>
    </format>
    <format dxfId="113">
      <pivotArea dataOnly="0" labelOnly="1" fieldPosition="0">
        <references count="1">
          <reference field="1" count="10">
            <x v="4"/>
            <x v="10"/>
            <x v="13"/>
            <x v="15"/>
            <x v="17"/>
            <x v="20"/>
            <x v="24"/>
            <x v="25"/>
            <x v="29"/>
            <x v="30"/>
          </reference>
        </references>
      </pivotArea>
    </format>
    <format dxfId="114">
      <pivotArea dataOnly="0" labelOnly="1" grandRow="1" outline="0" fieldPosition="0"/>
    </format>
    <format dxfId="11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Flight_Status" xr10:uid="{6ED693DD-1237-48F1-B6DB-30C22364F7D8}" sourceName="Flight_Status">
  <pivotTables>
    <pivotTable tabId="7" name="PivotTable14"/>
  </pivotTables>
  <data>
    <tabular pivotCacheId="956863379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Flight_Status1" xr10:uid="{A8C18B32-8A4A-4891-BD46-F16886EC38A6}" sourceName="Flight_Status">
  <pivotTables>
    <pivotTable tabId="7" name="PivotTable15"/>
  </pivotTables>
  <data>
    <tabular pivotCacheId="956863379">
      <items count="2">
        <i x="0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Departure_Airport_ID" xr10:uid="{0E48BD35-8851-4CE5-997D-F5276977F758}" sourceName="[fact_flights].[Departure_Airport_ID]">
  <pivotTables>
    <pivotTable tabId="7" name="PivotTable17"/>
  </pivotTables>
  <data>
    <olap pivotCacheId="1268788385">
      <levels count="2">
        <level uniqueName="[fact_flights].[Departure_Airport_ID].[(All)]" sourceCaption="(All)" count="0"/>
        <level uniqueName="[fact_flights].[Departure_Airport_ID].[Departure_Airport_ID]" sourceCaption="Departure_Airport_ID" count="10">
          <ranges>
            <range startItem="0">
              <i n="[fact_flights].[Departure_Airport_ID].&amp;[1]" c="1"/>
              <i n="[fact_flights].[Departure_Airport_ID].&amp;[2]" c="2"/>
              <i n="[fact_flights].[Departure_Airport_ID].&amp;[3]" c="3"/>
              <i n="[fact_flights].[Departure_Airport_ID].&amp;[4]" c="4"/>
              <i n="[fact_flights].[Departure_Airport_ID].&amp;[5]" c="5"/>
              <i n="[fact_flights].[Departure_Airport_ID].&amp;[7]" c="7"/>
              <i n="[fact_flights].[Departure_Airport_ID].&amp;[9]" c="9"/>
              <i n="[fact_flights].[Departure_Airport_ID].&amp;[10]" c="10"/>
              <i n="[fact_flights].[Departure_Airport_ID].&amp;[6]" c="6" nd="1"/>
              <i n="[fact_flights].[Departure_Airport_ID].&amp;[8]" c="8" nd="1"/>
            </range>
          </ranges>
        </level>
      </levels>
      <selections count="1">
        <selection n="[fact_flights].[Departure_Airport_ID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rrival_Airport_ID" xr10:uid="{AF015253-4FAB-48AC-94BA-F71C10DDE81C}" sourceName="[fact_flights].[Arrival_Airport_ID]">
  <pivotTables>
    <pivotTable tabId="7" name="PivotTable17"/>
  </pivotTables>
  <data>
    <olap pivotCacheId="1268788385">
      <levels count="2">
        <level uniqueName="[fact_flights].[Arrival_Airport_ID].[(All)]" sourceCaption="(All)" count="0"/>
        <level uniqueName="[fact_flights].[Arrival_Airport_ID].[Arrival_Airport_ID]" sourceCaption="Arrival_Airport_ID" count="10">
          <ranges>
            <range startItem="0">
              <i n="[fact_flights].[Arrival_Airport_ID].&amp;[1]" c="1"/>
              <i n="[fact_flights].[Arrival_Airport_ID].&amp;[2]" c="2"/>
              <i n="[fact_flights].[Arrival_Airport_ID].&amp;[3]" c="3"/>
              <i n="[fact_flights].[Arrival_Airport_ID].&amp;[5]" c="5"/>
              <i n="[fact_flights].[Arrival_Airport_ID].&amp;[6]" c="6"/>
              <i n="[fact_flights].[Arrival_Airport_ID].&amp;[7]" c="7"/>
              <i n="[fact_flights].[Arrival_Airport_ID].&amp;[8]" c="8"/>
              <i n="[fact_flights].[Arrival_Airport_ID].&amp;[9]" c="9"/>
              <i n="[fact_flights].[Arrival_Airport_ID].&amp;[10]" c="10"/>
              <i n="[fact_flights].[Arrival_Airport_ID].&amp;[4]" c="4" nd="1"/>
            </range>
          </ranges>
        </level>
      </levels>
      <selections count="1">
        <selection n="[fact_flights].[Arrival_Airport_I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light_Status" xr10:uid="{253F9A6E-7B47-4627-9FB9-EB8BD3DE195F}" cache="Dilimleyici_Flight_Status" caption="Flight_Status" rowHeight="234950"/>
  <slicer name="Flight_Status 1" xr10:uid="{3FE86864-ADC6-49C8-BE98-3E3DDCD41AF1}" cache="Dilimleyici_Flight_Status1" caption="Flight_Status" rowHeight="234950"/>
  <slicer name="Departure_Airport_ID" xr10:uid="{E373CA37-32E0-4E7C-9FE9-D3E33B91DA18}" cache="Dilimleyici_Departure_Airport_ID" caption="Departure_Airport_ID" level="1" rowHeight="234950"/>
  <slicer name="Arrival_Airport_ID" xr10:uid="{AC87EBA6-CF2B-4077-A1C5-3A0B3028599A}" cache="Dilimleyici_Arrival_Airport_ID" caption="Arrival_Airport_ID" level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ure_Airport_ID 1" xr10:uid="{55618095-5A04-4D3E-AC0A-BDB94C74009E}" cache="Dilimleyici_Departure_Airport_ID" caption="Departure_Airport_ID" level="1" rowHeight="234950"/>
  <slicer name="Arrival_Airport_ID 1" xr10:uid="{7922F054-6FB6-4752-AFE8-C26B252A1803}" cache="Dilimleyici_Arrival_Airport_ID" caption="Arrival_Airport_ID" level="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897C8-9717-4F57-87A3-E35399E6EC13}" name="dim_airports" displayName="dim_airports" ref="A1:E11" totalsRowShown="0" headerRowDxfId="277" dataDxfId="278" headerRowBorderDxfId="285" tableBorderDxfId="286" totalsRowBorderDxfId="284">
  <autoFilter ref="A1:E11" xr:uid="{E50897C8-9717-4F57-87A3-E35399E6EC13}"/>
  <tableColumns count="5">
    <tableColumn id="1" xr3:uid="{FFEE6735-0D86-4692-9E2A-31C627F534A6}" name="Airport_ID" dataDxfId="283"/>
    <tableColumn id="2" xr3:uid="{91015E1D-6E11-49C8-8F8A-9DA2A7AD0608}" name="Airport_Code" dataDxfId="282"/>
    <tableColumn id="3" xr3:uid="{A22F1424-82A6-429D-8AA7-BADA01539500}" name="Airport_Name" dataDxfId="281"/>
    <tableColumn id="4" xr3:uid="{1A4FC3D9-E234-47BF-AD1B-EF186681C4E3}" name="City" dataDxfId="280"/>
    <tableColumn id="5" xr3:uid="{00532F7F-E72E-4BB2-B467-B35CEEAE4D6E}" name="Country" dataDxfId="2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B08507-7830-4065-9D6F-521AD9225341}" name="dim_airlines" displayName="dim_airlines" ref="A1:B6" totalsRowShown="0" headerRowDxfId="271" headerRowBorderDxfId="275" tableBorderDxfId="276" totalsRowBorderDxfId="274">
  <autoFilter ref="A1:B6" xr:uid="{F9B08507-7830-4065-9D6F-521AD9225341}"/>
  <tableColumns count="2">
    <tableColumn id="1" xr3:uid="{C1B3034B-934C-4810-AA5B-8634F3BB34E5}" name="Airline_ID" dataDxfId="273"/>
    <tableColumn id="2" xr3:uid="{A2EC65E8-ED3B-4A93-88E0-2B9621D6B9AA}" name="Airline_Name" dataDxfId="27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8D4F61-9688-4F1E-8384-683A490A45DF}" name="dim_aircrafts" displayName="dim_aircrafts" ref="A1:C6" totalsRowShown="0" headerRowDxfId="264" headerRowBorderDxfId="269" tableBorderDxfId="270" totalsRowBorderDxfId="268">
  <autoFilter ref="A1:C6" xr:uid="{5F8D4F61-9688-4F1E-8384-683A490A45DF}"/>
  <tableColumns count="3">
    <tableColumn id="1" xr3:uid="{89554C29-FB93-44C4-A584-6C108165DD48}" name="Aircraft_ID" dataDxfId="267"/>
    <tableColumn id="2" xr3:uid="{E47CA103-E290-4B6F-AF19-FF08CBE22CA8}" name="Aircraft_Type" dataDxfId="266"/>
    <tableColumn id="3" xr3:uid="{729C8320-65BD-4F08-BE33-B2419B2C7BA6}" name="Seat_Capacity" dataDxfId="2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DE16DE-CDEB-44EE-AAC9-939AA891BE7D}" name="fact_flights" displayName="fact_flights" ref="A1:L101" totalsRowShown="0" headerRowDxfId="247" dataDxfId="248" headerRowBorderDxfId="262" tableBorderDxfId="263" totalsRowBorderDxfId="261">
  <autoFilter ref="A1:L101" xr:uid="{81DE16DE-CDEB-44EE-AAC9-939AA891BE7D}"/>
  <tableColumns count="12">
    <tableColumn id="1" xr3:uid="{54A2ED2B-E1A3-4404-AC3D-4FC46470E5A3}" name="Flight_ID" dataDxfId="260"/>
    <tableColumn id="2" xr3:uid="{8F14456A-CEFD-4E50-8191-032775B6BC9E}" name="Flight_Date" dataDxfId="259"/>
    <tableColumn id="3" xr3:uid="{F7ADDF76-5171-40E3-8B65-DBB6A84D0ED3}" name="Airline_ID" dataDxfId="258"/>
    <tableColumn id="4" xr3:uid="{604C3FC6-C2EE-4CC4-819D-9AC9B0DE9E48}" name="Aircraft_ID" dataDxfId="257"/>
    <tableColumn id="5" xr3:uid="{68D13229-195F-4851-9843-B491552DF1D2}" name="Departure_Airport_ID" dataDxfId="256"/>
    <tableColumn id="6" xr3:uid="{7EBF7B5E-8BD2-4120-B81D-64689BCA99CC}" name="Arrival_Airport_ID" dataDxfId="255"/>
    <tableColumn id="7" xr3:uid="{427C2633-70D6-4C0D-8E4B-B7B8DEFB4C33}" name="Scheduled_Departure" dataDxfId="254"/>
    <tableColumn id="8" xr3:uid="{E65B9C73-E49A-4755-BED1-1CFFC27D3CBF}" name="Actual_Departure" dataDxfId="253"/>
    <tableColumn id="9" xr3:uid="{5100E64F-78B6-4C82-AE55-C3B09208412A}" name="Scheduled_Arrival" dataDxfId="252"/>
    <tableColumn id="10" xr3:uid="{C3E062C0-F97B-4721-B12E-26EB427ADD6B}" name="Actual_Arrival" dataDxfId="251"/>
    <tableColumn id="11" xr3:uid="{D53F82E6-E0B4-42E5-852D-801C448A0472}" name="Passengers" dataDxfId="250"/>
    <tableColumn id="12" xr3:uid="{BBCA8286-F661-4931-AF38-9A714A7C0FED}" name="Flight_Status" dataDxfId="24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B6ADBC-1E0A-4BCC-8520-4690D432CDF5}" name="fact_delays" displayName="fact_delays" ref="A1:D34" totalsRowShown="0" headerRowDxfId="239" headerRowBorderDxfId="245" tableBorderDxfId="246" totalsRowBorderDxfId="244">
  <autoFilter ref="A1:D34" xr:uid="{52B6ADBC-1E0A-4BCC-8520-4690D432CDF5}"/>
  <tableColumns count="4">
    <tableColumn id="1" xr3:uid="{CED6FC94-DBB5-42F2-AC8A-0527447C566C}" name="Delay_ID" dataDxfId="243"/>
    <tableColumn id="2" xr3:uid="{CEAC5540-E212-46FB-8FBB-DBD63479B01E}" name="Flight_ID" dataDxfId="242"/>
    <tableColumn id="3" xr3:uid="{2543C637-7BD8-4708-BFAA-6764A2877BBE}" name="Delay_Category" dataDxfId="241"/>
    <tableColumn id="4" xr3:uid="{F05ABABB-8BC4-4D11-95AA-7790636CCDA4}" name="Delay_Minutes" dataDxfId="2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310B-48C2-47BD-8ADF-6F92D67966E5}">
  <dimension ref="A1:E11"/>
  <sheetViews>
    <sheetView workbookViewId="0">
      <selection activeCell="C14" sqref="C14"/>
    </sheetView>
  </sheetViews>
  <sheetFormatPr defaultRowHeight="14.4" x14ac:dyDescent="0.3"/>
  <cols>
    <col min="1" max="1" width="12.6640625" customWidth="1"/>
    <col min="2" max="2" width="15.77734375" customWidth="1"/>
    <col min="3" max="3" width="29.5546875" customWidth="1"/>
    <col min="4" max="4" width="13.44140625" customWidth="1"/>
    <col min="5" max="5" width="14.44140625" customWidth="1"/>
  </cols>
  <sheetData>
    <row r="1" spans="1:5" x14ac:dyDescent="0.3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x14ac:dyDescent="0.3">
      <c r="A2" s="7">
        <v>1</v>
      </c>
      <c r="B2" s="1" t="s">
        <v>5</v>
      </c>
      <c r="C2" s="1" t="s">
        <v>15</v>
      </c>
      <c r="D2" s="1" t="s">
        <v>25</v>
      </c>
      <c r="E2" s="8" t="s">
        <v>39</v>
      </c>
    </row>
    <row r="3" spans="1:5" x14ac:dyDescent="0.3">
      <c r="A3" s="7">
        <v>2</v>
      </c>
      <c r="B3" s="1" t="s">
        <v>6</v>
      </c>
      <c r="C3" s="1" t="s">
        <v>16</v>
      </c>
      <c r="D3" s="1" t="s">
        <v>25</v>
      </c>
      <c r="E3" s="8" t="s">
        <v>39</v>
      </c>
    </row>
    <row r="4" spans="1:5" x14ac:dyDescent="0.3">
      <c r="A4" s="7">
        <v>3</v>
      </c>
      <c r="B4" s="1" t="s">
        <v>7</v>
      </c>
      <c r="C4" s="1" t="s">
        <v>17</v>
      </c>
      <c r="D4" s="1" t="s">
        <v>26</v>
      </c>
      <c r="E4" s="8" t="s">
        <v>39</v>
      </c>
    </row>
    <row r="5" spans="1:5" x14ac:dyDescent="0.3">
      <c r="A5" s="7">
        <v>4</v>
      </c>
      <c r="B5" s="1" t="s">
        <v>8</v>
      </c>
      <c r="C5" s="1" t="s">
        <v>18</v>
      </c>
      <c r="D5" s="1" t="s">
        <v>27</v>
      </c>
      <c r="E5" s="8" t="s">
        <v>39</v>
      </c>
    </row>
    <row r="6" spans="1:5" x14ac:dyDescent="0.3">
      <c r="A6" s="7">
        <v>5</v>
      </c>
      <c r="B6" s="1" t="s">
        <v>9</v>
      </c>
      <c r="C6" s="1" t="s">
        <v>19</v>
      </c>
      <c r="D6" s="1" t="s">
        <v>28</v>
      </c>
      <c r="E6" s="8" t="s">
        <v>39</v>
      </c>
    </row>
    <row r="7" spans="1:5" x14ac:dyDescent="0.3">
      <c r="A7" s="7">
        <v>6</v>
      </c>
      <c r="B7" s="1" t="s">
        <v>10</v>
      </c>
      <c r="C7" s="1" t="s">
        <v>20</v>
      </c>
      <c r="D7" s="1" t="s">
        <v>29</v>
      </c>
      <c r="E7" s="8" t="s">
        <v>38</v>
      </c>
    </row>
    <row r="8" spans="1:5" x14ac:dyDescent="0.3">
      <c r="A8" s="7">
        <v>7</v>
      </c>
      <c r="B8" s="1" t="s">
        <v>11</v>
      </c>
      <c r="C8" s="1" t="s">
        <v>21</v>
      </c>
      <c r="D8" s="1" t="s">
        <v>31</v>
      </c>
      <c r="E8" s="8" t="s">
        <v>37</v>
      </c>
    </row>
    <row r="9" spans="1:5" x14ac:dyDescent="0.3">
      <c r="A9" s="7">
        <v>8</v>
      </c>
      <c r="B9" s="1" t="s">
        <v>12</v>
      </c>
      <c r="C9" s="1" t="s">
        <v>22</v>
      </c>
      <c r="D9" s="1" t="s">
        <v>32</v>
      </c>
      <c r="E9" s="8" t="s">
        <v>36</v>
      </c>
    </row>
    <row r="10" spans="1:5" x14ac:dyDescent="0.3">
      <c r="A10" s="7">
        <v>9</v>
      </c>
      <c r="B10" s="1" t="s">
        <v>13</v>
      </c>
      <c r="C10" s="1" t="s">
        <v>23</v>
      </c>
      <c r="D10" s="1" t="s">
        <v>33</v>
      </c>
      <c r="E10" s="8" t="s">
        <v>35</v>
      </c>
    </row>
    <row r="11" spans="1:5" x14ac:dyDescent="0.3">
      <c r="A11" s="12">
        <v>10</v>
      </c>
      <c r="B11" s="13" t="s">
        <v>14</v>
      </c>
      <c r="C11" s="13" t="s">
        <v>24</v>
      </c>
      <c r="D11" s="13" t="s">
        <v>30</v>
      </c>
      <c r="E11" s="14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BF34-7250-4DD0-B0C1-C7003E3AC979}">
  <dimension ref="A1:B6"/>
  <sheetViews>
    <sheetView workbookViewId="0">
      <selection activeCell="D26" sqref="D26"/>
    </sheetView>
  </sheetViews>
  <sheetFormatPr defaultRowHeight="14.4" x14ac:dyDescent="0.3"/>
  <cols>
    <col min="1" max="1" width="14.21875" customWidth="1"/>
    <col min="2" max="2" width="22.21875" customWidth="1"/>
  </cols>
  <sheetData>
    <row r="1" spans="1:2" x14ac:dyDescent="0.3">
      <c r="A1" s="9" t="s">
        <v>40</v>
      </c>
      <c r="B1" s="11" t="s">
        <v>41</v>
      </c>
    </row>
    <row r="2" spans="1:2" x14ac:dyDescent="0.3">
      <c r="A2" s="7">
        <v>1</v>
      </c>
      <c r="B2" s="8" t="s">
        <v>42</v>
      </c>
    </row>
    <row r="3" spans="1:2" x14ac:dyDescent="0.3">
      <c r="A3" s="7">
        <v>2</v>
      </c>
      <c r="B3" s="8" t="s">
        <v>43</v>
      </c>
    </row>
    <row r="4" spans="1:2" x14ac:dyDescent="0.3">
      <c r="A4" s="7">
        <v>3</v>
      </c>
      <c r="B4" s="8" t="s">
        <v>44</v>
      </c>
    </row>
    <row r="5" spans="1:2" x14ac:dyDescent="0.3">
      <c r="A5" s="7">
        <v>4</v>
      </c>
      <c r="B5" s="8" t="s">
        <v>45</v>
      </c>
    </row>
    <row r="6" spans="1:2" x14ac:dyDescent="0.3">
      <c r="A6" s="12">
        <v>5</v>
      </c>
      <c r="B6" s="14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F279-1BD7-4DCB-BB1B-D9708AF7CC3F}">
  <dimension ref="A1:C6"/>
  <sheetViews>
    <sheetView workbookViewId="0">
      <selection activeCell="C9" sqref="C9"/>
    </sheetView>
  </sheetViews>
  <sheetFormatPr defaultRowHeight="14.4" x14ac:dyDescent="0.3"/>
  <cols>
    <col min="1" max="1" width="13.109375" customWidth="1"/>
    <col min="2" max="2" width="19.109375" customWidth="1"/>
    <col min="3" max="3" width="17.6640625" customWidth="1"/>
  </cols>
  <sheetData>
    <row r="1" spans="1:3" x14ac:dyDescent="0.3">
      <c r="A1" s="9" t="s">
        <v>47</v>
      </c>
      <c r="B1" s="10" t="s">
        <v>48</v>
      </c>
      <c r="C1" s="11" t="s">
        <v>49</v>
      </c>
    </row>
    <row r="2" spans="1:3" x14ac:dyDescent="0.3">
      <c r="A2" s="7">
        <v>1</v>
      </c>
      <c r="B2" s="1" t="s">
        <v>50</v>
      </c>
      <c r="C2" s="8">
        <v>180</v>
      </c>
    </row>
    <row r="3" spans="1:3" x14ac:dyDescent="0.3">
      <c r="A3" s="7">
        <v>2</v>
      </c>
      <c r="B3" s="1" t="s">
        <v>51</v>
      </c>
      <c r="C3" s="8">
        <v>220</v>
      </c>
    </row>
    <row r="4" spans="1:3" x14ac:dyDescent="0.3">
      <c r="A4" s="7">
        <v>3</v>
      </c>
      <c r="B4" s="1" t="s">
        <v>53</v>
      </c>
      <c r="C4" s="8">
        <v>189</v>
      </c>
    </row>
    <row r="5" spans="1:3" x14ac:dyDescent="0.3">
      <c r="A5" s="7">
        <v>4</v>
      </c>
      <c r="B5" s="1" t="s">
        <v>52</v>
      </c>
      <c r="C5" s="8">
        <v>210</v>
      </c>
    </row>
    <row r="6" spans="1:3" x14ac:dyDescent="0.3">
      <c r="A6" s="12">
        <v>5</v>
      </c>
      <c r="B6" s="13" t="s">
        <v>54</v>
      </c>
      <c r="C6" s="14">
        <v>300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5D45-74F7-452A-9ED9-6F7DF6046438}">
  <dimension ref="A1:L501"/>
  <sheetViews>
    <sheetView topLeftCell="E1" workbookViewId="0">
      <selection activeCell="I9" sqref="I9"/>
    </sheetView>
  </sheetViews>
  <sheetFormatPr defaultRowHeight="14.4" x14ac:dyDescent="0.3"/>
  <cols>
    <col min="1" max="1" width="11.44140625" customWidth="1"/>
    <col min="2" max="2" width="13.88671875" style="3" customWidth="1"/>
    <col min="3" max="3" width="12.33203125" customWidth="1"/>
    <col min="4" max="4" width="13.109375" customWidth="1"/>
    <col min="5" max="5" width="23.44140625" customWidth="1"/>
    <col min="6" max="6" width="20.21875" customWidth="1"/>
    <col min="7" max="7" width="24" customWidth="1"/>
    <col min="8" max="8" width="19.77734375" customWidth="1"/>
    <col min="9" max="9" width="20.77734375" customWidth="1"/>
    <col min="10" max="10" width="16.5546875" customWidth="1"/>
    <col min="11" max="11" width="14.33203125" customWidth="1"/>
    <col min="12" max="12" width="15.5546875" customWidth="1"/>
    <col min="14" max="14" width="10.33203125" bestFit="1" customWidth="1"/>
  </cols>
  <sheetData>
    <row r="1" spans="1:12" x14ac:dyDescent="0.3">
      <c r="A1" s="17" t="s">
        <v>55</v>
      </c>
      <c r="B1" s="18" t="s">
        <v>56</v>
      </c>
      <c r="C1" s="18" t="s">
        <v>40</v>
      </c>
      <c r="D1" s="18" t="s">
        <v>47</v>
      </c>
      <c r="E1" s="18" t="s">
        <v>57</v>
      </c>
      <c r="F1" s="18" t="s">
        <v>58</v>
      </c>
      <c r="G1" s="18" t="s">
        <v>60</v>
      </c>
      <c r="H1" s="18" t="s">
        <v>59</v>
      </c>
      <c r="I1" s="18" t="s">
        <v>61</v>
      </c>
      <c r="J1" s="18" t="s">
        <v>62</v>
      </c>
      <c r="K1" s="18" t="s">
        <v>63</v>
      </c>
      <c r="L1" s="19" t="s">
        <v>64</v>
      </c>
    </row>
    <row r="2" spans="1:12" x14ac:dyDescent="0.3">
      <c r="A2" s="15">
        <v>10001</v>
      </c>
      <c r="B2" s="5">
        <v>45659</v>
      </c>
      <c r="C2" s="4">
        <v>1</v>
      </c>
      <c r="D2" s="4">
        <v>1</v>
      </c>
      <c r="E2" s="4">
        <v>1</v>
      </c>
      <c r="F2" s="4">
        <v>6</v>
      </c>
      <c r="G2" s="6">
        <v>0.33333333333333331</v>
      </c>
      <c r="H2" s="6">
        <v>0.33680555555555558</v>
      </c>
      <c r="I2" s="6">
        <v>0.4375</v>
      </c>
      <c r="J2" s="6">
        <v>0.44791666666666669</v>
      </c>
      <c r="K2" s="4">
        <v>172</v>
      </c>
      <c r="L2" s="16" t="s">
        <v>68</v>
      </c>
    </row>
    <row r="3" spans="1:12" x14ac:dyDescent="0.3">
      <c r="A3" s="15">
        <v>10002</v>
      </c>
      <c r="B3" s="5">
        <v>45659</v>
      </c>
      <c r="C3" s="4">
        <v>2</v>
      </c>
      <c r="D3" s="4">
        <v>3</v>
      </c>
      <c r="E3" s="4">
        <v>2</v>
      </c>
      <c r="F3" s="4">
        <v>5</v>
      </c>
      <c r="G3" s="6">
        <v>0.38541666666666669</v>
      </c>
      <c r="H3" s="6">
        <v>0.40277777777777779</v>
      </c>
      <c r="I3" s="6">
        <v>0.45833333333333331</v>
      </c>
      <c r="J3" s="6">
        <v>0.47569444444444442</v>
      </c>
      <c r="K3" s="4">
        <v>160</v>
      </c>
      <c r="L3" s="16" t="s">
        <v>69</v>
      </c>
    </row>
    <row r="4" spans="1:12" x14ac:dyDescent="0.3">
      <c r="A4" s="15">
        <v>10003</v>
      </c>
      <c r="B4" s="5">
        <v>45660</v>
      </c>
      <c r="C4" s="4">
        <v>3</v>
      </c>
      <c r="D4" s="4">
        <v>2</v>
      </c>
      <c r="E4" s="4">
        <v>3</v>
      </c>
      <c r="F4" s="4">
        <v>1</v>
      </c>
      <c r="G4" s="6">
        <v>0.3125</v>
      </c>
      <c r="H4" s="6">
        <v>0.3125</v>
      </c>
      <c r="I4" s="6">
        <v>0.40625</v>
      </c>
      <c r="J4" s="6">
        <v>0.40277777777777779</v>
      </c>
      <c r="K4" s="4">
        <v>210</v>
      </c>
      <c r="L4" s="16" t="s">
        <v>68</v>
      </c>
    </row>
    <row r="5" spans="1:12" x14ac:dyDescent="0.3">
      <c r="A5" s="15">
        <v>10004</v>
      </c>
      <c r="B5" s="5">
        <v>45660</v>
      </c>
      <c r="C5" s="4">
        <v>1</v>
      </c>
      <c r="D5" s="4">
        <v>4</v>
      </c>
      <c r="E5" s="4">
        <v>1</v>
      </c>
      <c r="F5" s="4">
        <v>8</v>
      </c>
      <c r="G5" s="6">
        <v>0.5</v>
      </c>
      <c r="H5" s="6">
        <v>0.51388888888888884</v>
      </c>
      <c r="I5" s="6">
        <v>0.60416666666666663</v>
      </c>
      <c r="J5" s="6">
        <v>0.62152777777777779</v>
      </c>
      <c r="K5" s="4">
        <v>198</v>
      </c>
      <c r="L5" s="16" t="s">
        <v>69</v>
      </c>
    </row>
    <row r="6" spans="1:12" x14ac:dyDescent="0.3">
      <c r="A6" s="15">
        <v>10005</v>
      </c>
      <c r="B6" s="5">
        <v>45661</v>
      </c>
      <c r="C6" s="4">
        <v>4</v>
      </c>
      <c r="D6" s="4">
        <v>5</v>
      </c>
      <c r="E6" s="4">
        <v>6</v>
      </c>
      <c r="F6" s="4">
        <v>1</v>
      </c>
      <c r="G6" s="6">
        <v>0.28125</v>
      </c>
      <c r="H6" s="6">
        <v>0.28472222222222221</v>
      </c>
      <c r="I6" s="6">
        <v>0.38194444444444442</v>
      </c>
      <c r="J6" s="6">
        <v>0.3888888888888889</v>
      </c>
      <c r="K6" s="4">
        <v>280</v>
      </c>
      <c r="L6" s="16" t="s">
        <v>68</v>
      </c>
    </row>
    <row r="7" spans="1:12" x14ac:dyDescent="0.3">
      <c r="A7" s="15">
        <v>10006</v>
      </c>
      <c r="B7" s="5">
        <v>45661</v>
      </c>
      <c r="C7" s="4">
        <v>5</v>
      </c>
      <c r="D7" s="4">
        <v>3</v>
      </c>
      <c r="E7" s="4">
        <v>7</v>
      </c>
      <c r="F7" s="4">
        <v>2</v>
      </c>
      <c r="G7" s="6">
        <v>0.41666666666666669</v>
      </c>
      <c r="H7" s="6">
        <v>0.4201388888888889</v>
      </c>
      <c r="I7" s="6">
        <v>0.51041666666666663</v>
      </c>
      <c r="J7" s="6">
        <v>0.51041666666666663</v>
      </c>
      <c r="K7" s="4">
        <v>145</v>
      </c>
      <c r="L7" s="16" t="s">
        <v>68</v>
      </c>
    </row>
    <row r="8" spans="1:12" x14ac:dyDescent="0.3">
      <c r="A8" s="15">
        <v>10007</v>
      </c>
      <c r="B8" s="5">
        <v>45662</v>
      </c>
      <c r="C8" s="4">
        <v>2</v>
      </c>
      <c r="D8" s="4">
        <v>1</v>
      </c>
      <c r="E8" s="4">
        <v>5</v>
      </c>
      <c r="F8" s="4">
        <v>9</v>
      </c>
      <c r="G8" s="6">
        <v>0.5625</v>
      </c>
      <c r="H8" s="6">
        <v>0.59027777777777779</v>
      </c>
      <c r="I8" s="6">
        <v>0.65972222222222221</v>
      </c>
      <c r="J8" s="6">
        <v>0.68402777777777779</v>
      </c>
      <c r="K8" s="4">
        <v>155</v>
      </c>
      <c r="L8" s="16" t="s">
        <v>69</v>
      </c>
    </row>
    <row r="9" spans="1:12" x14ac:dyDescent="0.3">
      <c r="A9" s="15">
        <v>10008</v>
      </c>
      <c r="B9" s="5">
        <v>45662</v>
      </c>
      <c r="C9" s="4">
        <v>3</v>
      </c>
      <c r="D9" s="4">
        <v>2</v>
      </c>
      <c r="E9" s="4">
        <v>4</v>
      </c>
      <c r="F9" s="4">
        <v>6</v>
      </c>
      <c r="G9" s="6">
        <v>0.34722222222222221</v>
      </c>
      <c r="H9" s="6">
        <v>0.34722222222222221</v>
      </c>
      <c r="I9" s="6">
        <v>0.44444444444444442</v>
      </c>
      <c r="J9" s="6">
        <v>0.44097222222222221</v>
      </c>
      <c r="K9" s="4">
        <v>180</v>
      </c>
      <c r="L9" s="16" t="s">
        <v>68</v>
      </c>
    </row>
    <row r="10" spans="1:12" x14ac:dyDescent="0.3">
      <c r="A10" s="15">
        <v>10009</v>
      </c>
      <c r="B10" s="5">
        <v>45663</v>
      </c>
      <c r="C10" s="4">
        <v>1</v>
      </c>
      <c r="D10" s="4">
        <v>4</v>
      </c>
      <c r="E10" s="4">
        <v>1</v>
      </c>
      <c r="F10" s="4">
        <v>7</v>
      </c>
      <c r="G10" s="6">
        <v>0.66666666666666663</v>
      </c>
      <c r="H10" s="6">
        <v>0.66666666666666663</v>
      </c>
      <c r="I10" s="6">
        <v>0.78125</v>
      </c>
      <c r="J10" s="6">
        <v>0.78472222222222221</v>
      </c>
      <c r="K10" s="4">
        <v>190</v>
      </c>
      <c r="L10" s="16" t="s">
        <v>68</v>
      </c>
    </row>
    <row r="11" spans="1:12" x14ac:dyDescent="0.3">
      <c r="A11" s="15">
        <v>10010</v>
      </c>
      <c r="B11" s="5">
        <v>45663</v>
      </c>
      <c r="C11" s="4">
        <v>2</v>
      </c>
      <c r="D11" s="4">
        <v>3</v>
      </c>
      <c r="E11" s="4">
        <v>2</v>
      </c>
      <c r="F11" s="4">
        <v>8</v>
      </c>
      <c r="G11" s="6">
        <v>0.375</v>
      </c>
      <c r="H11" s="6">
        <v>0.3923611111111111</v>
      </c>
      <c r="I11" s="6">
        <v>0.47222222222222221</v>
      </c>
      <c r="J11" s="6">
        <v>0.49652777777777779</v>
      </c>
      <c r="K11" s="4">
        <v>165</v>
      </c>
      <c r="L11" s="16" t="s">
        <v>69</v>
      </c>
    </row>
    <row r="12" spans="1:12" x14ac:dyDescent="0.3">
      <c r="A12" s="15">
        <v>10011</v>
      </c>
      <c r="B12" s="5">
        <v>45664</v>
      </c>
      <c r="C12" s="4">
        <v>4</v>
      </c>
      <c r="D12" s="4">
        <v>5</v>
      </c>
      <c r="E12" s="4">
        <v>6</v>
      </c>
      <c r="F12" s="4">
        <v>10</v>
      </c>
      <c r="G12" s="6">
        <v>0.2986111111111111</v>
      </c>
      <c r="H12" s="6">
        <v>0.2986111111111111</v>
      </c>
      <c r="I12" s="6">
        <v>0.40277777777777779</v>
      </c>
      <c r="J12" s="6">
        <v>0.40972222222222221</v>
      </c>
      <c r="K12" s="4">
        <v>260</v>
      </c>
      <c r="L12" s="16" t="s">
        <v>68</v>
      </c>
    </row>
    <row r="13" spans="1:12" x14ac:dyDescent="0.3">
      <c r="A13" s="15">
        <v>10012</v>
      </c>
      <c r="B13" s="5">
        <v>45664</v>
      </c>
      <c r="C13" s="4">
        <v>5</v>
      </c>
      <c r="D13" s="4">
        <v>2</v>
      </c>
      <c r="E13" s="4">
        <v>8</v>
      </c>
      <c r="F13" s="4">
        <v>1</v>
      </c>
      <c r="G13" s="6">
        <v>0.47916666666666669</v>
      </c>
      <c r="H13" s="6">
        <v>0.4826388888888889</v>
      </c>
      <c r="I13" s="6">
        <v>0.58333333333333337</v>
      </c>
      <c r="J13" s="6">
        <v>0.59027777777777779</v>
      </c>
      <c r="K13" s="4">
        <v>220</v>
      </c>
      <c r="L13" s="16" t="s">
        <v>68</v>
      </c>
    </row>
    <row r="14" spans="1:12" x14ac:dyDescent="0.3">
      <c r="A14" s="15">
        <v>10013</v>
      </c>
      <c r="B14" s="5">
        <v>45665</v>
      </c>
      <c r="C14" s="4">
        <v>1</v>
      </c>
      <c r="D14" s="4">
        <v>1</v>
      </c>
      <c r="E14" s="4">
        <v>1</v>
      </c>
      <c r="F14" s="4">
        <v>5</v>
      </c>
      <c r="G14" s="6">
        <v>0.58333333333333337</v>
      </c>
      <c r="H14" s="6">
        <v>0.58333333333333337</v>
      </c>
      <c r="I14" s="6">
        <v>0.67361111111111116</v>
      </c>
      <c r="J14" s="6">
        <v>0.67013888888888884</v>
      </c>
      <c r="K14" s="4">
        <v>175</v>
      </c>
      <c r="L14" s="16" t="s">
        <v>68</v>
      </c>
    </row>
    <row r="15" spans="1:12" x14ac:dyDescent="0.3">
      <c r="A15" s="15">
        <v>10014</v>
      </c>
      <c r="B15" s="5">
        <v>45665</v>
      </c>
      <c r="C15" s="4">
        <v>3</v>
      </c>
      <c r="D15" s="4">
        <v>3</v>
      </c>
      <c r="E15" s="4">
        <v>3</v>
      </c>
      <c r="F15" s="4">
        <v>9</v>
      </c>
      <c r="G15" s="6">
        <v>0.28472222222222221</v>
      </c>
      <c r="H15" s="6">
        <v>0.30555555555555558</v>
      </c>
      <c r="I15" s="6">
        <v>0.3888888888888889</v>
      </c>
      <c r="J15" s="6">
        <v>0.41319444444444442</v>
      </c>
      <c r="K15" s="4">
        <v>185</v>
      </c>
      <c r="L15" s="16" t="s">
        <v>69</v>
      </c>
    </row>
    <row r="16" spans="1:12" x14ac:dyDescent="0.3">
      <c r="A16" s="15">
        <v>10015</v>
      </c>
      <c r="B16" s="5">
        <v>45666</v>
      </c>
      <c r="C16" s="4">
        <v>2</v>
      </c>
      <c r="D16" s="4">
        <v>4</v>
      </c>
      <c r="E16" s="4">
        <v>2</v>
      </c>
      <c r="F16" s="4">
        <v>6</v>
      </c>
      <c r="G16" s="6">
        <v>0.70833333333333337</v>
      </c>
      <c r="H16" s="6">
        <v>0.71180555555555558</v>
      </c>
      <c r="I16" s="6">
        <v>0.8125</v>
      </c>
      <c r="J16" s="6">
        <v>0.81944444444444442</v>
      </c>
      <c r="K16" s="4">
        <v>200</v>
      </c>
      <c r="L16" s="16" t="s">
        <v>68</v>
      </c>
    </row>
    <row r="17" spans="1:12" x14ac:dyDescent="0.3">
      <c r="A17" s="15">
        <v>10016</v>
      </c>
      <c r="B17" s="5">
        <v>45666</v>
      </c>
      <c r="C17" s="4">
        <v>4</v>
      </c>
      <c r="D17" s="4">
        <v>5</v>
      </c>
      <c r="E17" s="4">
        <v>7</v>
      </c>
      <c r="F17" s="4">
        <v>1</v>
      </c>
      <c r="G17" s="6">
        <v>0.38194444444444442</v>
      </c>
      <c r="H17" s="6">
        <v>0.38194444444444442</v>
      </c>
      <c r="I17" s="6">
        <v>0.4861111111111111</v>
      </c>
      <c r="J17" s="6">
        <v>0.4826388888888889</v>
      </c>
      <c r="K17" s="4">
        <v>275</v>
      </c>
      <c r="L17" s="16" t="s">
        <v>68</v>
      </c>
    </row>
    <row r="18" spans="1:12" x14ac:dyDescent="0.3">
      <c r="A18" s="15">
        <v>10017</v>
      </c>
      <c r="B18" s="5">
        <v>45667</v>
      </c>
      <c r="C18" s="4">
        <v>5</v>
      </c>
      <c r="D18" s="4">
        <v>2</v>
      </c>
      <c r="E18" s="4">
        <v>9</v>
      </c>
      <c r="F18" s="4">
        <v>3</v>
      </c>
      <c r="G18" s="6">
        <v>0.33333333333333331</v>
      </c>
      <c r="H18" s="6">
        <v>0.35069444444444442</v>
      </c>
      <c r="I18" s="6">
        <v>0.43055555555555558</v>
      </c>
      <c r="J18" s="6">
        <v>0.4513888888888889</v>
      </c>
      <c r="K18" s="4">
        <v>215</v>
      </c>
      <c r="L18" s="16" t="s">
        <v>69</v>
      </c>
    </row>
    <row r="19" spans="1:12" x14ac:dyDescent="0.3">
      <c r="A19" s="15">
        <v>10018</v>
      </c>
      <c r="B19" s="5">
        <v>45667</v>
      </c>
      <c r="C19" s="4">
        <v>1</v>
      </c>
      <c r="D19" s="4">
        <v>1</v>
      </c>
      <c r="E19" s="4">
        <v>1</v>
      </c>
      <c r="F19" s="4">
        <v>8</v>
      </c>
      <c r="G19" s="6">
        <v>0.53125</v>
      </c>
      <c r="H19" s="6">
        <v>0.53125</v>
      </c>
      <c r="I19" s="6">
        <v>0.625</v>
      </c>
      <c r="J19" s="6">
        <v>0.63194444444444442</v>
      </c>
      <c r="K19" s="4">
        <v>170</v>
      </c>
      <c r="L19" s="16" t="s">
        <v>68</v>
      </c>
    </row>
    <row r="20" spans="1:12" x14ac:dyDescent="0.3">
      <c r="A20" s="15">
        <v>10019</v>
      </c>
      <c r="B20" s="5">
        <v>45668</v>
      </c>
      <c r="C20" s="4">
        <v>2</v>
      </c>
      <c r="D20" s="4">
        <v>3</v>
      </c>
      <c r="E20" s="4">
        <v>5</v>
      </c>
      <c r="F20" s="4">
        <v>6</v>
      </c>
      <c r="G20" s="6">
        <v>0.27083333333333331</v>
      </c>
      <c r="H20" s="6">
        <v>0.27083333333333331</v>
      </c>
      <c r="I20" s="6">
        <v>0.36805555555555558</v>
      </c>
      <c r="J20" s="6">
        <v>0.36458333333333331</v>
      </c>
      <c r="K20" s="4">
        <v>150</v>
      </c>
      <c r="L20" s="16" t="s">
        <v>68</v>
      </c>
    </row>
    <row r="21" spans="1:12" x14ac:dyDescent="0.3">
      <c r="A21" s="15">
        <v>10020</v>
      </c>
      <c r="B21" s="5">
        <v>45668</v>
      </c>
      <c r="C21" s="4">
        <v>3</v>
      </c>
      <c r="D21" s="4">
        <v>2</v>
      </c>
      <c r="E21" s="4">
        <v>4</v>
      </c>
      <c r="F21" s="4">
        <v>7</v>
      </c>
      <c r="G21" s="6">
        <v>0.55555555555555558</v>
      </c>
      <c r="H21" s="6">
        <v>0.57638888888888884</v>
      </c>
      <c r="I21" s="6">
        <v>0.65277777777777779</v>
      </c>
      <c r="J21" s="6">
        <v>0.67361111111111116</v>
      </c>
      <c r="K21" s="4">
        <v>190</v>
      </c>
      <c r="L21" s="16" t="s">
        <v>69</v>
      </c>
    </row>
    <row r="22" spans="1:12" x14ac:dyDescent="0.3">
      <c r="A22" s="15">
        <v>10021</v>
      </c>
      <c r="B22" s="5">
        <v>45669</v>
      </c>
      <c r="C22" s="4">
        <v>4</v>
      </c>
      <c r="D22" s="4">
        <v>5</v>
      </c>
      <c r="E22" s="4">
        <v>6</v>
      </c>
      <c r="F22" s="4">
        <v>8</v>
      </c>
      <c r="G22" s="6">
        <v>0.42708333333333331</v>
      </c>
      <c r="H22" s="6">
        <v>0.42708333333333331</v>
      </c>
      <c r="I22" s="6">
        <v>0.53125</v>
      </c>
      <c r="J22" s="6">
        <v>0.53472222222222221</v>
      </c>
      <c r="K22" s="4">
        <v>285</v>
      </c>
      <c r="L22" s="16" t="s">
        <v>68</v>
      </c>
    </row>
    <row r="23" spans="1:12" x14ac:dyDescent="0.3">
      <c r="A23" s="15">
        <v>10022</v>
      </c>
      <c r="B23" s="5">
        <v>45669</v>
      </c>
      <c r="C23" s="4">
        <v>5</v>
      </c>
      <c r="D23" s="4">
        <v>4</v>
      </c>
      <c r="E23" s="4">
        <v>8</v>
      </c>
      <c r="F23" s="4">
        <v>2</v>
      </c>
      <c r="G23" s="6">
        <v>0.31944444444444442</v>
      </c>
      <c r="H23" s="6">
        <v>0.31944444444444442</v>
      </c>
      <c r="I23" s="6">
        <v>0.4236111111111111</v>
      </c>
      <c r="J23" s="6">
        <v>0.4201388888888889</v>
      </c>
      <c r="K23" s="4">
        <v>225</v>
      </c>
      <c r="L23" s="16" t="s">
        <v>68</v>
      </c>
    </row>
    <row r="24" spans="1:12" x14ac:dyDescent="0.3">
      <c r="A24" s="15">
        <v>10023</v>
      </c>
      <c r="B24" s="5">
        <v>45670</v>
      </c>
      <c r="C24" s="4">
        <v>1</v>
      </c>
      <c r="D24" s="4">
        <v>1</v>
      </c>
      <c r="E24" s="4">
        <v>1</v>
      </c>
      <c r="F24" s="4">
        <v>9</v>
      </c>
      <c r="G24" s="6">
        <v>0.75</v>
      </c>
      <c r="H24" s="6">
        <v>0.76388888888888884</v>
      </c>
      <c r="I24" s="6">
        <v>0.85416666666666663</v>
      </c>
      <c r="J24" s="6">
        <v>0.87847222222222221</v>
      </c>
      <c r="K24" s="4">
        <v>178</v>
      </c>
      <c r="L24" s="16" t="s">
        <v>69</v>
      </c>
    </row>
    <row r="25" spans="1:12" x14ac:dyDescent="0.3">
      <c r="A25" s="15">
        <v>10024</v>
      </c>
      <c r="B25" s="5">
        <v>45670</v>
      </c>
      <c r="C25" s="4">
        <v>2</v>
      </c>
      <c r="D25" s="4">
        <v>3</v>
      </c>
      <c r="E25" s="4">
        <v>2</v>
      </c>
      <c r="F25" s="4">
        <v>7</v>
      </c>
      <c r="G25" s="6">
        <v>0.40972222222222221</v>
      </c>
      <c r="H25" s="6">
        <v>0.40972222222222221</v>
      </c>
      <c r="I25" s="6">
        <v>0.5</v>
      </c>
      <c r="J25" s="6">
        <v>0.49652777777777779</v>
      </c>
      <c r="K25" s="4">
        <v>160</v>
      </c>
      <c r="L25" s="16" t="s">
        <v>68</v>
      </c>
    </row>
    <row r="26" spans="1:12" x14ac:dyDescent="0.3">
      <c r="A26" s="15">
        <v>10025</v>
      </c>
      <c r="B26" s="5">
        <v>45671</v>
      </c>
      <c r="C26" s="4">
        <v>3</v>
      </c>
      <c r="D26" s="4">
        <v>2</v>
      </c>
      <c r="E26" s="4">
        <v>3</v>
      </c>
      <c r="F26" s="4">
        <v>10</v>
      </c>
      <c r="G26" s="6">
        <v>0.45833333333333331</v>
      </c>
      <c r="H26" s="6">
        <v>0.46180555555555558</v>
      </c>
      <c r="I26" s="6">
        <v>0.54861111111111116</v>
      </c>
      <c r="J26" s="6">
        <v>0.55902777777777779</v>
      </c>
      <c r="K26" s="4">
        <v>205</v>
      </c>
      <c r="L26" s="16" t="s">
        <v>69</v>
      </c>
    </row>
    <row r="27" spans="1:12" x14ac:dyDescent="0.3">
      <c r="A27" s="15">
        <v>10026</v>
      </c>
      <c r="B27" s="5">
        <v>45671</v>
      </c>
      <c r="C27" s="4">
        <v>4</v>
      </c>
      <c r="D27" s="4">
        <v>5</v>
      </c>
      <c r="E27" s="4">
        <v>6</v>
      </c>
      <c r="F27" s="4">
        <v>1</v>
      </c>
      <c r="G27" s="6">
        <v>0.27777777777777779</v>
      </c>
      <c r="H27" s="6">
        <v>0.28125</v>
      </c>
      <c r="I27" s="6">
        <v>0.38194444444444442</v>
      </c>
      <c r="J27" s="6">
        <v>0.3888888888888889</v>
      </c>
      <c r="K27" s="4">
        <v>290</v>
      </c>
      <c r="L27" s="16" t="s">
        <v>68</v>
      </c>
    </row>
    <row r="28" spans="1:12" x14ac:dyDescent="0.3">
      <c r="A28" s="15">
        <v>10027</v>
      </c>
      <c r="B28" s="5">
        <v>45672</v>
      </c>
      <c r="C28" s="4">
        <v>1</v>
      </c>
      <c r="D28" s="4">
        <v>2</v>
      </c>
      <c r="E28" s="4">
        <v>1</v>
      </c>
      <c r="F28" s="4">
        <v>7</v>
      </c>
      <c r="G28" s="6">
        <v>0.34027777777777779</v>
      </c>
      <c r="H28" s="6">
        <v>0.3576388888888889</v>
      </c>
      <c r="I28" s="6">
        <v>0.4513888888888889</v>
      </c>
      <c r="J28" s="6">
        <v>0.47222222222222221</v>
      </c>
      <c r="K28" s="4">
        <v>180</v>
      </c>
      <c r="L28" s="16" t="s">
        <v>69</v>
      </c>
    </row>
    <row r="29" spans="1:12" x14ac:dyDescent="0.3">
      <c r="A29" s="15">
        <v>10028</v>
      </c>
      <c r="B29" s="5">
        <v>45672</v>
      </c>
      <c r="C29" s="4">
        <v>2</v>
      </c>
      <c r="D29" s="4">
        <v>1</v>
      </c>
      <c r="E29" s="4">
        <v>2</v>
      </c>
      <c r="F29" s="4">
        <v>4</v>
      </c>
      <c r="G29" s="6">
        <v>0.375</v>
      </c>
      <c r="H29" s="6">
        <v>0.375</v>
      </c>
      <c r="I29" s="6">
        <v>0.46527777777777779</v>
      </c>
      <c r="J29" s="6">
        <v>0.46180555555555558</v>
      </c>
      <c r="K29" s="4">
        <v>155</v>
      </c>
      <c r="L29" s="16" t="s">
        <v>68</v>
      </c>
    </row>
    <row r="30" spans="1:12" x14ac:dyDescent="0.3">
      <c r="A30" s="15">
        <v>10029</v>
      </c>
      <c r="B30" s="5">
        <v>45673</v>
      </c>
      <c r="C30" s="4">
        <v>3</v>
      </c>
      <c r="D30" s="4">
        <v>3</v>
      </c>
      <c r="E30" s="4">
        <v>3</v>
      </c>
      <c r="F30" s="4">
        <v>6</v>
      </c>
      <c r="G30" s="6">
        <v>0.30555555555555558</v>
      </c>
      <c r="H30" s="6">
        <v>0.30555555555555558</v>
      </c>
      <c r="I30" s="6">
        <v>0.40277777777777779</v>
      </c>
      <c r="J30" s="6">
        <v>0.40972222222222221</v>
      </c>
      <c r="K30" s="4">
        <v>195</v>
      </c>
      <c r="L30" s="16" t="s">
        <v>68</v>
      </c>
    </row>
    <row r="31" spans="1:12" x14ac:dyDescent="0.3">
      <c r="A31" s="15">
        <v>10030</v>
      </c>
      <c r="B31" s="5">
        <v>45673</v>
      </c>
      <c r="C31" s="4">
        <v>5</v>
      </c>
      <c r="D31" s="4">
        <v>4</v>
      </c>
      <c r="E31" s="4">
        <v>9</v>
      </c>
      <c r="F31" s="4">
        <v>1</v>
      </c>
      <c r="G31" s="6">
        <v>0.54166666666666663</v>
      </c>
      <c r="H31" s="6">
        <v>0.55902777777777779</v>
      </c>
      <c r="I31" s="6">
        <v>0.64583333333333337</v>
      </c>
      <c r="J31" s="6">
        <v>0.67013888888888884</v>
      </c>
      <c r="K31" s="4">
        <v>230</v>
      </c>
      <c r="L31" s="16" t="s">
        <v>69</v>
      </c>
    </row>
    <row r="32" spans="1:12" x14ac:dyDescent="0.3">
      <c r="A32" s="15">
        <v>10031</v>
      </c>
      <c r="B32" s="5">
        <v>45674</v>
      </c>
      <c r="C32" s="4">
        <v>4</v>
      </c>
      <c r="D32" s="4">
        <v>5</v>
      </c>
      <c r="E32" s="4">
        <v>6</v>
      </c>
      <c r="F32" s="4">
        <v>8</v>
      </c>
      <c r="G32" s="6">
        <v>0.28819444444444442</v>
      </c>
      <c r="H32" s="6">
        <v>0.28819444444444442</v>
      </c>
      <c r="I32" s="6">
        <v>0.3923611111111111</v>
      </c>
      <c r="J32" s="6">
        <v>0.39583333333333331</v>
      </c>
      <c r="K32" s="4">
        <v>275</v>
      </c>
      <c r="L32" s="16" t="s">
        <v>68</v>
      </c>
    </row>
    <row r="33" spans="1:12" x14ac:dyDescent="0.3">
      <c r="A33" s="15">
        <v>10032</v>
      </c>
      <c r="B33" s="5">
        <v>45674</v>
      </c>
      <c r="C33" s="4">
        <v>1</v>
      </c>
      <c r="D33" s="4">
        <v>1</v>
      </c>
      <c r="E33" s="4">
        <v>1</v>
      </c>
      <c r="F33" s="4">
        <v>10</v>
      </c>
      <c r="G33" s="6">
        <v>0.46527777777777779</v>
      </c>
      <c r="H33" s="6">
        <v>0.46527777777777779</v>
      </c>
      <c r="I33" s="6">
        <v>0.5625</v>
      </c>
      <c r="J33" s="6">
        <v>0.55902777777777779</v>
      </c>
      <c r="K33" s="4">
        <v>175</v>
      </c>
      <c r="L33" s="16" t="s">
        <v>68</v>
      </c>
    </row>
    <row r="34" spans="1:12" x14ac:dyDescent="0.3">
      <c r="A34" s="15">
        <v>10033</v>
      </c>
      <c r="B34" s="5">
        <v>45675</v>
      </c>
      <c r="C34" s="4">
        <v>2</v>
      </c>
      <c r="D34" s="4">
        <v>3</v>
      </c>
      <c r="E34" s="4">
        <v>2</v>
      </c>
      <c r="F34" s="4">
        <v>9</v>
      </c>
      <c r="G34" s="6">
        <v>0.36458333333333331</v>
      </c>
      <c r="H34" s="6">
        <v>0.38194444444444442</v>
      </c>
      <c r="I34" s="6">
        <v>0.46180555555555558</v>
      </c>
      <c r="J34" s="6">
        <v>0.4861111111111111</v>
      </c>
      <c r="K34" s="4">
        <v>165</v>
      </c>
      <c r="L34" s="16" t="s">
        <v>69</v>
      </c>
    </row>
    <row r="35" spans="1:12" x14ac:dyDescent="0.3">
      <c r="A35" s="15">
        <v>10034</v>
      </c>
      <c r="B35" s="5">
        <v>45675</v>
      </c>
      <c r="C35" s="4">
        <v>3</v>
      </c>
      <c r="D35" s="4">
        <v>2</v>
      </c>
      <c r="E35" s="4">
        <v>4</v>
      </c>
      <c r="F35" s="4">
        <v>1</v>
      </c>
      <c r="G35" s="6">
        <v>0.58333333333333337</v>
      </c>
      <c r="H35" s="6">
        <v>0.58333333333333337</v>
      </c>
      <c r="I35" s="6">
        <v>0.67361111111111116</v>
      </c>
      <c r="J35" s="6">
        <v>0.67013888888888884</v>
      </c>
      <c r="K35" s="4">
        <v>185</v>
      </c>
      <c r="L35" s="16" t="s">
        <v>68</v>
      </c>
    </row>
    <row r="36" spans="1:12" x14ac:dyDescent="0.3">
      <c r="A36" s="15">
        <v>10035</v>
      </c>
      <c r="B36" s="5">
        <v>45676</v>
      </c>
      <c r="C36" s="4">
        <v>5</v>
      </c>
      <c r="D36" s="4">
        <v>4</v>
      </c>
      <c r="E36" s="4">
        <v>7</v>
      </c>
      <c r="F36" s="4">
        <v>3</v>
      </c>
      <c r="G36" s="6">
        <v>0.29166666666666669</v>
      </c>
      <c r="H36" s="6">
        <v>0.29166666666666669</v>
      </c>
      <c r="I36" s="6">
        <v>0.38541666666666669</v>
      </c>
      <c r="J36" s="6">
        <v>0.38194444444444442</v>
      </c>
      <c r="K36" s="4">
        <v>210</v>
      </c>
      <c r="L36" s="16" t="s">
        <v>68</v>
      </c>
    </row>
    <row r="37" spans="1:12" x14ac:dyDescent="0.3">
      <c r="A37" s="15">
        <v>10036</v>
      </c>
      <c r="B37" s="5">
        <v>45676</v>
      </c>
      <c r="C37" s="4">
        <v>1</v>
      </c>
      <c r="D37" s="4">
        <v>2</v>
      </c>
      <c r="E37" s="4">
        <v>1</v>
      </c>
      <c r="F37" s="4">
        <v>5</v>
      </c>
      <c r="G37" s="6">
        <v>0.67361111111111116</v>
      </c>
      <c r="H37" s="6">
        <v>0.69444444444444442</v>
      </c>
      <c r="I37" s="6">
        <v>0.77083333333333337</v>
      </c>
      <c r="J37" s="6">
        <v>0.79513888888888884</v>
      </c>
      <c r="K37" s="4">
        <v>182</v>
      </c>
      <c r="L37" s="16" t="s">
        <v>69</v>
      </c>
    </row>
    <row r="38" spans="1:12" x14ac:dyDescent="0.3">
      <c r="A38" s="15">
        <v>10037</v>
      </c>
      <c r="B38" s="5">
        <v>45677</v>
      </c>
      <c r="C38" s="4">
        <v>4</v>
      </c>
      <c r="D38" s="4">
        <v>5</v>
      </c>
      <c r="E38" s="4">
        <v>6</v>
      </c>
      <c r="F38" s="4">
        <v>2</v>
      </c>
      <c r="G38" s="6">
        <v>0.39583333333333331</v>
      </c>
      <c r="H38" s="6">
        <v>0.39583333333333331</v>
      </c>
      <c r="I38" s="6">
        <v>0.5</v>
      </c>
      <c r="J38" s="6">
        <v>0.50694444444444442</v>
      </c>
      <c r="K38" s="4">
        <v>295</v>
      </c>
      <c r="L38" s="16" t="s">
        <v>68</v>
      </c>
    </row>
    <row r="39" spans="1:12" x14ac:dyDescent="0.3">
      <c r="A39" s="15">
        <v>10038</v>
      </c>
      <c r="B39" s="5">
        <v>45677</v>
      </c>
      <c r="C39" s="4">
        <v>2</v>
      </c>
      <c r="D39" s="4">
        <v>1</v>
      </c>
      <c r="E39" s="4">
        <v>8</v>
      </c>
      <c r="F39" s="4">
        <v>1</v>
      </c>
      <c r="G39" s="6">
        <v>0.28472222222222221</v>
      </c>
      <c r="H39" s="6">
        <v>0.28472222222222221</v>
      </c>
      <c r="I39" s="6">
        <v>0.3888888888888889</v>
      </c>
      <c r="J39" s="6">
        <v>0.38541666666666669</v>
      </c>
      <c r="K39" s="4">
        <v>210</v>
      </c>
      <c r="L39" s="16" t="s">
        <v>68</v>
      </c>
    </row>
    <row r="40" spans="1:12" x14ac:dyDescent="0.3">
      <c r="A40" s="15">
        <v>10039</v>
      </c>
      <c r="B40" s="5">
        <v>45678</v>
      </c>
      <c r="C40" s="4">
        <v>3</v>
      </c>
      <c r="D40" s="4">
        <v>3</v>
      </c>
      <c r="E40" s="4">
        <v>3</v>
      </c>
      <c r="F40" s="4">
        <v>7</v>
      </c>
      <c r="G40" s="6">
        <v>0.50694444444444442</v>
      </c>
      <c r="H40" s="6">
        <v>0.52777777777777779</v>
      </c>
      <c r="I40" s="6">
        <v>0.60416666666666663</v>
      </c>
      <c r="J40" s="6">
        <v>0.62847222222222221</v>
      </c>
      <c r="K40" s="4">
        <v>200</v>
      </c>
      <c r="L40" s="16" t="s">
        <v>69</v>
      </c>
    </row>
    <row r="41" spans="1:12" x14ac:dyDescent="0.3">
      <c r="A41" s="15">
        <v>10040</v>
      </c>
      <c r="B41" s="5">
        <v>45678</v>
      </c>
      <c r="C41" s="4">
        <v>5</v>
      </c>
      <c r="D41" s="4">
        <v>4</v>
      </c>
      <c r="E41" s="4">
        <v>9</v>
      </c>
      <c r="F41" s="4">
        <v>6</v>
      </c>
      <c r="G41" s="6">
        <v>0.41666666666666669</v>
      </c>
      <c r="H41" s="6">
        <v>0.41666666666666669</v>
      </c>
      <c r="I41" s="6">
        <v>0.51041666666666663</v>
      </c>
      <c r="J41" s="6">
        <v>0.50694444444444442</v>
      </c>
      <c r="K41" s="4">
        <v>225</v>
      </c>
      <c r="L41" s="16" t="s">
        <v>68</v>
      </c>
    </row>
    <row r="42" spans="1:12" x14ac:dyDescent="0.3">
      <c r="A42" s="15">
        <v>10041</v>
      </c>
      <c r="B42" s="5">
        <v>45679</v>
      </c>
      <c r="C42" s="4">
        <v>1</v>
      </c>
      <c r="D42" s="4">
        <v>1</v>
      </c>
      <c r="E42" s="4">
        <v>1</v>
      </c>
      <c r="F42" s="4">
        <v>4</v>
      </c>
      <c r="G42" s="6">
        <v>0.33333333333333331</v>
      </c>
      <c r="H42" s="6">
        <v>0.33333333333333331</v>
      </c>
      <c r="I42" s="6">
        <v>0.4236111111111111</v>
      </c>
      <c r="J42" s="6">
        <v>0.4201388888888889</v>
      </c>
      <c r="K42" s="4">
        <v>170</v>
      </c>
      <c r="L42" s="16" t="s">
        <v>68</v>
      </c>
    </row>
    <row r="43" spans="1:12" x14ac:dyDescent="0.3">
      <c r="A43" s="15">
        <v>10042</v>
      </c>
      <c r="B43" s="5">
        <v>45679</v>
      </c>
      <c r="C43" s="4">
        <v>2</v>
      </c>
      <c r="D43" s="4">
        <v>3</v>
      </c>
      <c r="E43" s="4">
        <v>2</v>
      </c>
      <c r="F43" s="4">
        <v>8</v>
      </c>
      <c r="G43" s="6">
        <v>0.55555555555555558</v>
      </c>
      <c r="H43" s="6">
        <v>0.57638888888888884</v>
      </c>
      <c r="I43" s="6">
        <v>0.65277777777777779</v>
      </c>
      <c r="J43" s="6">
        <v>0.67708333333333337</v>
      </c>
      <c r="K43" s="4">
        <v>160</v>
      </c>
      <c r="L43" s="16" t="s">
        <v>69</v>
      </c>
    </row>
    <row r="44" spans="1:12" x14ac:dyDescent="0.3">
      <c r="A44" s="15">
        <v>10043</v>
      </c>
      <c r="B44" s="5">
        <v>45680</v>
      </c>
      <c r="C44" s="4">
        <v>3</v>
      </c>
      <c r="D44" s="4">
        <v>2</v>
      </c>
      <c r="E44" s="4">
        <v>4</v>
      </c>
      <c r="F44" s="4">
        <v>5</v>
      </c>
      <c r="G44" s="6">
        <v>0.32291666666666669</v>
      </c>
      <c r="H44" s="6">
        <v>0.32291666666666669</v>
      </c>
      <c r="I44" s="6">
        <v>0.41319444444444442</v>
      </c>
      <c r="J44" s="6">
        <v>0.40972222222222221</v>
      </c>
      <c r="K44" s="4">
        <v>190</v>
      </c>
      <c r="L44" s="16" t="s">
        <v>68</v>
      </c>
    </row>
    <row r="45" spans="1:12" x14ac:dyDescent="0.3">
      <c r="A45" s="15">
        <v>10044</v>
      </c>
      <c r="B45" s="5">
        <v>45680</v>
      </c>
      <c r="C45" s="4">
        <v>4</v>
      </c>
      <c r="D45" s="4">
        <v>5</v>
      </c>
      <c r="E45" s="4">
        <v>6</v>
      </c>
      <c r="F45" s="4">
        <v>7</v>
      </c>
      <c r="G45" s="6">
        <v>0.63194444444444442</v>
      </c>
      <c r="H45" s="6">
        <v>0.63194444444444442</v>
      </c>
      <c r="I45" s="6">
        <v>0.73611111111111116</v>
      </c>
      <c r="J45" s="6">
        <v>0.74305555555555558</v>
      </c>
      <c r="K45" s="4">
        <v>280</v>
      </c>
      <c r="L45" s="16" t="s">
        <v>68</v>
      </c>
    </row>
    <row r="46" spans="1:12" x14ac:dyDescent="0.3">
      <c r="A46" s="15">
        <v>10045</v>
      </c>
      <c r="B46" s="5">
        <v>45681</v>
      </c>
      <c r="C46" s="4">
        <v>1</v>
      </c>
      <c r="D46" s="4">
        <v>2</v>
      </c>
      <c r="E46" s="4">
        <v>1</v>
      </c>
      <c r="F46" s="4">
        <v>9</v>
      </c>
      <c r="G46" s="6">
        <v>0.27083333333333331</v>
      </c>
      <c r="H46" s="6">
        <v>0.28819444444444442</v>
      </c>
      <c r="I46" s="6">
        <v>0.36805555555555558</v>
      </c>
      <c r="J46" s="6">
        <v>0.3923611111111111</v>
      </c>
      <c r="K46" s="4">
        <v>185</v>
      </c>
      <c r="L46" s="16" t="s">
        <v>69</v>
      </c>
    </row>
    <row r="47" spans="1:12" x14ac:dyDescent="0.3">
      <c r="A47" s="15">
        <v>10046</v>
      </c>
      <c r="B47" s="5">
        <v>45681</v>
      </c>
      <c r="C47" s="4">
        <v>5</v>
      </c>
      <c r="D47" s="4">
        <v>4</v>
      </c>
      <c r="E47" s="4">
        <v>10</v>
      </c>
      <c r="F47" s="4">
        <v>3</v>
      </c>
      <c r="G47" s="6">
        <v>0.47916666666666669</v>
      </c>
      <c r="H47" s="6">
        <v>0.47916666666666669</v>
      </c>
      <c r="I47" s="6">
        <v>0.56944444444444442</v>
      </c>
      <c r="J47" s="6">
        <v>0.56597222222222221</v>
      </c>
      <c r="K47" s="4">
        <v>240</v>
      </c>
      <c r="L47" s="16" t="s">
        <v>68</v>
      </c>
    </row>
    <row r="48" spans="1:12" x14ac:dyDescent="0.3">
      <c r="A48" s="15">
        <v>10047</v>
      </c>
      <c r="B48" s="5">
        <v>45682</v>
      </c>
      <c r="C48" s="4">
        <v>2</v>
      </c>
      <c r="D48" s="4">
        <v>1</v>
      </c>
      <c r="E48" s="4">
        <v>2</v>
      </c>
      <c r="F48" s="4">
        <v>6</v>
      </c>
      <c r="G48" s="6">
        <v>0.38194444444444442</v>
      </c>
      <c r="H48" s="6">
        <v>0.38194444444444442</v>
      </c>
      <c r="I48" s="6">
        <v>0.47916666666666669</v>
      </c>
      <c r="J48" s="6">
        <v>0.47569444444444442</v>
      </c>
      <c r="K48" s="4">
        <v>150</v>
      </c>
      <c r="L48" s="16" t="s">
        <v>68</v>
      </c>
    </row>
    <row r="49" spans="1:12" x14ac:dyDescent="0.3">
      <c r="A49" s="15">
        <v>10048</v>
      </c>
      <c r="B49" s="5">
        <v>45682</v>
      </c>
      <c r="C49" s="4">
        <v>3</v>
      </c>
      <c r="D49" s="4">
        <v>3</v>
      </c>
      <c r="E49" s="4">
        <v>3</v>
      </c>
      <c r="F49" s="4">
        <v>8</v>
      </c>
      <c r="G49" s="6">
        <v>0.59722222222222221</v>
      </c>
      <c r="H49" s="6">
        <v>0.61805555555555558</v>
      </c>
      <c r="I49" s="6">
        <v>0.69444444444444442</v>
      </c>
      <c r="J49" s="6">
        <v>0.71875</v>
      </c>
      <c r="K49" s="4">
        <v>205</v>
      </c>
      <c r="L49" s="16" t="s">
        <v>69</v>
      </c>
    </row>
    <row r="50" spans="1:12" x14ac:dyDescent="0.3">
      <c r="A50" s="15">
        <v>10049</v>
      </c>
      <c r="B50" s="5">
        <v>45683</v>
      </c>
      <c r="C50" s="4">
        <v>4</v>
      </c>
      <c r="D50" s="4">
        <v>5</v>
      </c>
      <c r="E50" s="4">
        <v>6</v>
      </c>
      <c r="F50" s="4">
        <v>9</v>
      </c>
      <c r="G50" s="6">
        <v>0.29166666666666669</v>
      </c>
      <c r="H50" s="6">
        <v>0.29166666666666669</v>
      </c>
      <c r="I50" s="6">
        <v>0.39583333333333331</v>
      </c>
      <c r="J50" s="6">
        <v>0.39930555555555558</v>
      </c>
      <c r="K50" s="4">
        <v>290</v>
      </c>
      <c r="L50" s="16" t="s">
        <v>68</v>
      </c>
    </row>
    <row r="51" spans="1:12" x14ac:dyDescent="0.3">
      <c r="A51" s="15">
        <v>10050</v>
      </c>
      <c r="B51" s="5">
        <v>45683</v>
      </c>
      <c r="C51" s="4">
        <v>1</v>
      </c>
      <c r="D51" s="4">
        <v>1</v>
      </c>
      <c r="E51" s="4">
        <v>1</v>
      </c>
      <c r="F51" s="4">
        <v>7</v>
      </c>
      <c r="G51" s="6">
        <v>0.5</v>
      </c>
      <c r="H51" s="6">
        <v>0.5</v>
      </c>
      <c r="I51" s="6">
        <v>0.59027777777777779</v>
      </c>
      <c r="J51" s="6">
        <v>0.58680555555555558</v>
      </c>
      <c r="K51" s="4">
        <v>178</v>
      </c>
      <c r="L51" s="16" t="s">
        <v>68</v>
      </c>
    </row>
    <row r="52" spans="1:12" x14ac:dyDescent="0.3">
      <c r="A52" s="15">
        <v>10051</v>
      </c>
      <c r="B52" s="5">
        <v>45684</v>
      </c>
      <c r="C52" s="4">
        <v>2</v>
      </c>
      <c r="D52" s="4">
        <v>1</v>
      </c>
      <c r="E52" s="4">
        <v>2</v>
      </c>
      <c r="F52" s="4">
        <v>10</v>
      </c>
      <c r="G52" s="6">
        <v>0.33333333333333331</v>
      </c>
      <c r="H52" s="6">
        <v>0.33333333333333331</v>
      </c>
      <c r="I52" s="6">
        <v>0.43055555555555558</v>
      </c>
      <c r="J52" s="6">
        <v>0.42708333333333331</v>
      </c>
      <c r="K52" s="4">
        <v>160</v>
      </c>
      <c r="L52" s="16" t="s">
        <v>68</v>
      </c>
    </row>
    <row r="53" spans="1:12" x14ac:dyDescent="0.3">
      <c r="A53" s="15">
        <v>10052</v>
      </c>
      <c r="B53" s="5">
        <v>45684</v>
      </c>
      <c r="C53" s="4">
        <v>3</v>
      </c>
      <c r="D53" s="4">
        <v>3</v>
      </c>
      <c r="E53" s="4">
        <v>4</v>
      </c>
      <c r="F53" s="4">
        <v>6</v>
      </c>
      <c r="G53" s="6">
        <v>0.38194444444444442</v>
      </c>
      <c r="H53" s="6">
        <v>0.40277777777777779</v>
      </c>
      <c r="I53" s="6">
        <v>0.47916666666666669</v>
      </c>
      <c r="J53" s="6">
        <v>0.50347222222222221</v>
      </c>
      <c r="K53" s="4">
        <v>185</v>
      </c>
      <c r="L53" s="16" t="s">
        <v>69</v>
      </c>
    </row>
    <row r="54" spans="1:12" x14ac:dyDescent="0.3">
      <c r="A54" s="15">
        <v>10053</v>
      </c>
      <c r="B54" s="5">
        <v>45685</v>
      </c>
      <c r="C54" s="4">
        <v>1</v>
      </c>
      <c r="D54" s="4">
        <v>2</v>
      </c>
      <c r="E54" s="4">
        <v>1</v>
      </c>
      <c r="F54" s="4">
        <v>5</v>
      </c>
      <c r="G54" s="6">
        <v>0.28125</v>
      </c>
      <c r="H54" s="6">
        <v>0.28125</v>
      </c>
      <c r="I54" s="6">
        <v>0.375</v>
      </c>
      <c r="J54" s="6">
        <v>0.37152777777777779</v>
      </c>
      <c r="K54" s="4">
        <v>175</v>
      </c>
      <c r="L54" s="16" t="s">
        <v>68</v>
      </c>
    </row>
    <row r="55" spans="1:12" x14ac:dyDescent="0.3">
      <c r="A55" s="15">
        <v>10054</v>
      </c>
      <c r="B55" s="5">
        <v>45685</v>
      </c>
      <c r="C55" s="4">
        <v>4</v>
      </c>
      <c r="D55" s="4">
        <v>5</v>
      </c>
      <c r="E55" s="4">
        <v>6</v>
      </c>
      <c r="F55" s="4">
        <v>8</v>
      </c>
      <c r="G55" s="6">
        <v>0.54166666666666663</v>
      </c>
      <c r="H55" s="6">
        <v>0.54166666666666663</v>
      </c>
      <c r="I55" s="6">
        <v>0.64583333333333337</v>
      </c>
      <c r="J55" s="6">
        <v>0.64930555555555558</v>
      </c>
      <c r="K55" s="4">
        <v>290</v>
      </c>
      <c r="L55" s="16" t="s">
        <v>68</v>
      </c>
    </row>
    <row r="56" spans="1:12" x14ac:dyDescent="0.3">
      <c r="A56" s="15">
        <v>10055</v>
      </c>
      <c r="B56" s="5">
        <v>45686</v>
      </c>
      <c r="C56" s="4">
        <v>5</v>
      </c>
      <c r="D56" s="4">
        <v>4</v>
      </c>
      <c r="E56" s="4">
        <v>7</v>
      </c>
      <c r="F56" s="4">
        <v>2</v>
      </c>
      <c r="G56" s="6">
        <v>0.30555555555555558</v>
      </c>
      <c r="H56" s="6">
        <v>0.3263888888888889</v>
      </c>
      <c r="I56" s="6">
        <v>0.40277777777777779</v>
      </c>
      <c r="J56" s="6">
        <v>0.43055555555555558</v>
      </c>
      <c r="K56" s="4">
        <v>230</v>
      </c>
      <c r="L56" s="16" t="s">
        <v>69</v>
      </c>
    </row>
    <row r="57" spans="1:12" x14ac:dyDescent="0.3">
      <c r="A57" s="15">
        <v>10056</v>
      </c>
      <c r="B57" s="5">
        <v>45686</v>
      </c>
      <c r="C57" s="4">
        <v>2</v>
      </c>
      <c r="D57" s="4">
        <v>1</v>
      </c>
      <c r="E57" s="4">
        <v>3</v>
      </c>
      <c r="F57" s="4">
        <v>1</v>
      </c>
      <c r="G57" s="6">
        <v>0.41666666666666669</v>
      </c>
      <c r="H57" s="6">
        <v>0.41666666666666669</v>
      </c>
      <c r="I57" s="6">
        <v>0.50694444444444442</v>
      </c>
      <c r="J57" s="6">
        <v>0.50347222222222221</v>
      </c>
      <c r="K57" s="4">
        <v>155</v>
      </c>
      <c r="L57" s="16" t="s">
        <v>68</v>
      </c>
    </row>
    <row r="58" spans="1:12" x14ac:dyDescent="0.3">
      <c r="A58" s="15">
        <v>10057</v>
      </c>
      <c r="B58" s="5">
        <v>45687</v>
      </c>
      <c r="C58" s="4">
        <v>3</v>
      </c>
      <c r="D58" s="4">
        <v>3</v>
      </c>
      <c r="E58" s="4">
        <v>4</v>
      </c>
      <c r="F58" s="4">
        <v>9</v>
      </c>
      <c r="G58" s="6">
        <v>0.35416666666666669</v>
      </c>
      <c r="H58" s="6">
        <v>0.35416666666666669</v>
      </c>
      <c r="I58" s="6">
        <v>0.4513888888888889</v>
      </c>
      <c r="J58" s="6">
        <v>0.44791666666666669</v>
      </c>
      <c r="K58" s="4">
        <v>195</v>
      </c>
      <c r="L58" s="16" t="s">
        <v>68</v>
      </c>
    </row>
    <row r="59" spans="1:12" x14ac:dyDescent="0.3">
      <c r="A59" s="15">
        <v>10058</v>
      </c>
      <c r="B59" s="5">
        <v>45687</v>
      </c>
      <c r="C59" s="4">
        <v>1</v>
      </c>
      <c r="D59" s="4">
        <v>2</v>
      </c>
      <c r="E59" s="4">
        <v>1</v>
      </c>
      <c r="F59" s="4">
        <v>7</v>
      </c>
      <c r="G59" s="6">
        <v>0.58333333333333337</v>
      </c>
      <c r="H59" s="6">
        <v>0.60069444444444442</v>
      </c>
      <c r="I59" s="6">
        <v>0.68055555555555558</v>
      </c>
      <c r="J59" s="6">
        <v>0.70486111111111116</v>
      </c>
      <c r="K59" s="4">
        <v>180</v>
      </c>
      <c r="L59" s="16" t="s">
        <v>69</v>
      </c>
    </row>
    <row r="60" spans="1:12" x14ac:dyDescent="0.3">
      <c r="A60" s="15">
        <v>10059</v>
      </c>
      <c r="B60" s="5">
        <v>45688</v>
      </c>
      <c r="C60" s="4">
        <v>4</v>
      </c>
      <c r="D60" s="4">
        <v>5</v>
      </c>
      <c r="E60" s="4">
        <v>6</v>
      </c>
      <c r="F60" s="4">
        <v>10</v>
      </c>
      <c r="G60" s="6">
        <v>0.28472222222222221</v>
      </c>
      <c r="H60" s="6">
        <v>0.28472222222222221</v>
      </c>
      <c r="I60" s="6">
        <v>0.3888888888888889</v>
      </c>
      <c r="J60" s="6">
        <v>0.3923611111111111</v>
      </c>
      <c r="K60" s="4">
        <v>300</v>
      </c>
      <c r="L60" s="16" t="s">
        <v>68</v>
      </c>
    </row>
    <row r="61" spans="1:12" x14ac:dyDescent="0.3">
      <c r="A61" s="15">
        <v>10060</v>
      </c>
      <c r="B61" s="5">
        <v>45688</v>
      </c>
      <c r="C61" s="4">
        <v>2</v>
      </c>
      <c r="D61" s="4">
        <v>1</v>
      </c>
      <c r="E61" s="4">
        <v>2</v>
      </c>
      <c r="F61" s="4">
        <v>8</v>
      </c>
      <c r="G61" s="6">
        <v>0.50694444444444442</v>
      </c>
      <c r="H61" s="6">
        <v>0.50694444444444442</v>
      </c>
      <c r="I61" s="6">
        <v>0.59722222222222221</v>
      </c>
      <c r="J61" s="6">
        <v>0.59375</v>
      </c>
      <c r="K61" s="4">
        <v>165</v>
      </c>
      <c r="L61" s="16" t="s">
        <v>68</v>
      </c>
    </row>
    <row r="62" spans="1:12" x14ac:dyDescent="0.3">
      <c r="A62" s="15">
        <v>10061</v>
      </c>
      <c r="B62" s="5">
        <v>45689</v>
      </c>
      <c r="C62" s="4">
        <v>5</v>
      </c>
      <c r="D62" s="4">
        <v>4</v>
      </c>
      <c r="E62" s="4">
        <v>9</v>
      </c>
      <c r="F62" s="4">
        <v>3</v>
      </c>
      <c r="G62" s="6">
        <v>0.29166666666666669</v>
      </c>
      <c r="H62" s="6">
        <v>0.3125</v>
      </c>
      <c r="I62" s="6">
        <v>0.38194444444444442</v>
      </c>
      <c r="J62" s="6">
        <v>0.40972222222222221</v>
      </c>
      <c r="K62" s="4">
        <v>240</v>
      </c>
      <c r="L62" s="16" t="s">
        <v>69</v>
      </c>
    </row>
    <row r="63" spans="1:12" x14ac:dyDescent="0.3">
      <c r="A63" s="15">
        <v>10062</v>
      </c>
      <c r="B63" s="5">
        <v>45689</v>
      </c>
      <c r="C63" s="4">
        <v>3</v>
      </c>
      <c r="D63" s="4">
        <v>3</v>
      </c>
      <c r="E63" s="4">
        <v>4</v>
      </c>
      <c r="F63" s="4">
        <v>5</v>
      </c>
      <c r="G63" s="6">
        <v>0.3888888888888889</v>
      </c>
      <c r="H63" s="6">
        <v>0.3888888888888889</v>
      </c>
      <c r="I63" s="6">
        <v>0.4861111111111111</v>
      </c>
      <c r="J63" s="6">
        <v>0.4826388888888889</v>
      </c>
      <c r="K63" s="4">
        <v>190</v>
      </c>
      <c r="L63" s="16" t="s">
        <v>68</v>
      </c>
    </row>
    <row r="64" spans="1:12" x14ac:dyDescent="0.3">
      <c r="A64" s="15">
        <v>10063</v>
      </c>
      <c r="B64" s="5">
        <v>45690</v>
      </c>
      <c r="C64" s="4">
        <v>1</v>
      </c>
      <c r="D64" s="4">
        <v>1</v>
      </c>
      <c r="E64" s="4">
        <v>1</v>
      </c>
      <c r="F64" s="4">
        <v>6</v>
      </c>
      <c r="G64" s="6">
        <v>0.34027777777777779</v>
      </c>
      <c r="H64" s="6">
        <v>0.34027777777777779</v>
      </c>
      <c r="I64" s="6">
        <v>0.4375</v>
      </c>
      <c r="J64" s="6">
        <v>0.43402777777777779</v>
      </c>
      <c r="K64" s="4">
        <v>172</v>
      </c>
      <c r="L64" s="16" t="s">
        <v>68</v>
      </c>
    </row>
    <row r="65" spans="1:12" x14ac:dyDescent="0.3">
      <c r="A65" s="15">
        <v>10064</v>
      </c>
      <c r="B65" s="5">
        <v>45690</v>
      </c>
      <c r="C65" s="4">
        <v>2</v>
      </c>
      <c r="D65" s="4">
        <v>2</v>
      </c>
      <c r="E65" s="4">
        <v>2</v>
      </c>
      <c r="F65" s="4">
        <v>7</v>
      </c>
      <c r="G65" s="6">
        <v>0.5625</v>
      </c>
      <c r="H65" s="6">
        <v>0.58333333333333337</v>
      </c>
      <c r="I65" s="6">
        <v>0.65972222222222221</v>
      </c>
      <c r="J65" s="6">
        <v>0.6875</v>
      </c>
      <c r="K65" s="4">
        <v>185</v>
      </c>
      <c r="L65" s="16" t="s">
        <v>69</v>
      </c>
    </row>
    <row r="66" spans="1:12" x14ac:dyDescent="0.3">
      <c r="A66" s="15">
        <v>10065</v>
      </c>
      <c r="B66" s="5">
        <v>45691</v>
      </c>
      <c r="C66" s="4">
        <v>4</v>
      </c>
      <c r="D66" s="4">
        <v>5</v>
      </c>
      <c r="E66" s="4">
        <v>6</v>
      </c>
      <c r="F66" s="4">
        <v>1</v>
      </c>
      <c r="G66" s="6">
        <v>0.27777777777777779</v>
      </c>
      <c r="H66" s="6">
        <v>0.27777777777777779</v>
      </c>
      <c r="I66" s="6">
        <v>0.375</v>
      </c>
      <c r="J66" s="6">
        <v>0.37152777777777779</v>
      </c>
      <c r="K66" s="4">
        <v>295</v>
      </c>
      <c r="L66" s="16" t="s">
        <v>68</v>
      </c>
    </row>
    <row r="67" spans="1:12" x14ac:dyDescent="0.3">
      <c r="A67" s="15">
        <v>10066</v>
      </c>
      <c r="B67" s="5">
        <v>45691</v>
      </c>
      <c r="C67" s="4">
        <v>3</v>
      </c>
      <c r="D67" s="4">
        <v>3</v>
      </c>
      <c r="E67" s="4">
        <v>3</v>
      </c>
      <c r="F67" s="4">
        <v>8</v>
      </c>
      <c r="G67" s="6">
        <v>0.45833333333333331</v>
      </c>
      <c r="H67" s="6">
        <v>0.45833333333333331</v>
      </c>
      <c r="I67" s="6">
        <v>0.55555555555555558</v>
      </c>
      <c r="J67" s="6">
        <v>0.55902777777777779</v>
      </c>
      <c r="K67" s="4">
        <v>200</v>
      </c>
      <c r="L67" s="16" t="s">
        <v>68</v>
      </c>
    </row>
    <row r="68" spans="1:12" x14ac:dyDescent="0.3">
      <c r="A68" s="15">
        <v>10067</v>
      </c>
      <c r="B68" s="5">
        <v>45692</v>
      </c>
      <c r="C68" s="4">
        <v>1</v>
      </c>
      <c r="D68" s="4">
        <v>2</v>
      </c>
      <c r="E68" s="4">
        <v>1</v>
      </c>
      <c r="F68" s="4">
        <v>9</v>
      </c>
      <c r="G68" s="6">
        <v>0.3125</v>
      </c>
      <c r="H68" s="6">
        <v>0.3298611111111111</v>
      </c>
      <c r="I68" s="6">
        <v>0.40972222222222221</v>
      </c>
      <c r="J68" s="6">
        <v>0.43402777777777779</v>
      </c>
      <c r="K68" s="4">
        <v>178</v>
      </c>
      <c r="L68" s="16" t="s">
        <v>69</v>
      </c>
    </row>
    <row r="69" spans="1:12" x14ac:dyDescent="0.3">
      <c r="A69" s="15">
        <v>10068</v>
      </c>
      <c r="B69" s="5">
        <v>45692</v>
      </c>
      <c r="C69" s="4">
        <v>5</v>
      </c>
      <c r="D69" s="4">
        <v>4</v>
      </c>
      <c r="E69" s="4">
        <v>10</v>
      </c>
      <c r="F69" s="4">
        <v>6</v>
      </c>
      <c r="G69" s="6">
        <v>0.41666666666666669</v>
      </c>
      <c r="H69" s="6">
        <v>0.41666666666666669</v>
      </c>
      <c r="I69" s="6">
        <v>0.50694444444444442</v>
      </c>
      <c r="J69" s="6">
        <v>0.50347222222222221</v>
      </c>
      <c r="K69" s="4">
        <v>250</v>
      </c>
      <c r="L69" s="16" t="s">
        <v>68</v>
      </c>
    </row>
    <row r="70" spans="1:12" x14ac:dyDescent="0.3">
      <c r="A70" s="15">
        <v>10069</v>
      </c>
      <c r="B70" s="5">
        <v>45693</v>
      </c>
      <c r="C70" s="4">
        <v>2</v>
      </c>
      <c r="D70" s="4">
        <v>1</v>
      </c>
      <c r="E70" s="4">
        <v>2</v>
      </c>
      <c r="F70" s="4">
        <v>4</v>
      </c>
      <c r="G70" s="6">
        <v>0.33333333333333331</v>
      </c>
      <c r="H70" s="6">
        <v>0.33333333333333331</v>
      </c>
      <c r="I70" s="6">
        <v>0.4236111111111111</v>
      </c>
      <c r="J70" s="6">
        <v>0.4201388888888889</v>
      </c>
      <c r="K70" s="4">
        <v>160</v>
      </c>
      <c r="L70" s="16" t="s">
        <v>68</v>
      </c>
    </row>
    <row r="71" spans="1:12" x14ac:dyDescent="0.3">
      <c r="A71" s="15">
        <v>10070</v>
      </c>
      <c r="B71" s="5">
        <v>45693</v>
      </c>
      <c r="C71" s="4">
        <v>3</v>
      </c>
      <c r="D71" s="4">
        <v>3</v>
      </c>
      <c r="E71" s="4">
        <v>4</v>
      </c>
      <c r="F71" s="4">
        <v>7</v>
      </c>
      <c r="G71" s="6">
        <v>0.59027777777777779</v>
      </c>
      <c r="H71" s="6">
        <v>0.61111111111111116</v>
      </c>
      <c r="I71" s="6">
        <v>0.6875</v>
      </c>
      <c r="J71" s="6">
        <v>0.71180555555555558</v>
      </c>
      <c r="K71" s="4">
        <v>195</v>
      </c>
      <c r="L71" s="16" t="s">
        <v>69</v>
      </c>
    </row>
    <row r="72" spans="1:12" x14ac:dyDescent="0.3">
      <c r="A72" s="15">
        <v>10071</v>
      </c>
      <c r="B72" s="5">
        <v>45694</v>
      </c>
      <c r="C72" s="4">
        <v>4</v>
      </c>
      <c r="D72" s="4">
        <v>5</v>
      </c>
      <c r="E72" s="4">
        <v>6</v>
      </c>
      <c r="F72" s="4">
        <v>8</v>
      </c>
      <c r="G72" s="6">
        <v>0.28472222222222221</v>
      </c>
      <c r="H72" s="6">
        <v>0.28472222222222221</v>
      </c>
      <c r="I72" s="6">
        <v>0.3888888888888889</v>
      </c>
      <c r="J72" s="6">
        <v>0.3923611111111111</v>
      </c>
      <c r="K72" s="4">
        <v>285</v>
      </c>
      <c r="L72" s="16" t="s">
        <v>68</v>
      </c>
    </row>
    <row r="73" spans="1:12" x14ac:dyDescent="0.3">
      <c r="A73" s="15">
        <v>10072</v>
      </c>
      <c r="B73" s="5">
        <v>45694</v>
      </c>
      <c r="C73" s="4">
        <v>1</v>
      </c>
      <c r="D73" s="4">
        <v>1</v>
      </c>
      <c r="E73" s="4">
        <v>1</v>
      </c>
      <c r="F73" s="4">
        <v>5</v>
      </c>
      <c r="G73" s="6">
        <v>0.5</v>
      </c>
      <c r="H73" s="6">
        <v>0.5</v>
      </c>
      <c r="I73" s="6">
        <v>0.59027777777777779</v>
      </c>
      <c r="J73" s="6">
        <v>0.58680555555555558</v>
      </c>
      <c r="K73" s="4">
        <v>170</v>
      </c>
      <c r="L73" s="16" t="s">
        <v>68</v>
      </c>
    </row>
    <row r="74" spans="1:12" x14ac:dyDescent="0.3">
      <c r="A74" s="15">
        <v>10073</v>
      </c>
      <c r="B74" s="5">
        <v>45695</v>
      </c>
      <c r="C74" s="4">
        <v>2</v>
      </c>
      <c r="D74" s="4">
        <v>2</v>
      </c>
      <c r="E74" s="4">
        <v>2</v>
      </c>
      <c r="F74" s="4">
        <v>10</v>
      </c>
      <c r="G74" s="6">
        <v>0.38194444444444442</v>
      </c>
      <c r="H74" s="6">
        <v>0.40277777777777779</v>
      </c>
      <c r="I74" s="6">
        <v>0.47916666666666669</v>
      </c>
      <c r="J74" s="6">
        <v>0.50694444444444442</v>
      </c>
      <c r="K74" s="4">
        <v>165</v>
      </c>
      <c r="L74" s="16" t="s">
        <v>69</v>
      </c>
    </row>
    <row r="75" spans="1:12" x14ac:dyDescent="0.3">
      <c r="A75" s="15">
        <v>10074</v>
      </c>
      <c r="B75" s="5">
        <v>45695</v>
      </c>
      <c r="C75" s="4">
        <v>5</v>
      </c>
      <c r="D75" s="4">
        <v>4</v>
      </c>
      <c r="E75" s="4">
        <v>7</v>
      </c>
      <c r="F75" s="4">
        <v>1</v>
      </c>
      <c r="G75" s="6">
        <v>0.30555555555555558</v>
      </c>
      <c r="H75" s="6">
        <v>0.30555555555555558</v>
      </c>
      <c r="I75" s="6">
        <v>0.40277777777777779</v>
      </c>
      <c r="J75" s="6">
        <v>0.39930555555555558</v>
      </c>
      <c r="K75" s="4">
        <v>235</v>
      </c>
      <c r="L75" s="16" t="s">
        <v>68</v>
      </c>
    </row>
    <row r="76" spans="1:12" x14ac:dyDescent="0.3">
      <c r="A76" s="15">
        <v>10075</v>
      </c>
      <c r="B76" s="5">
        <v>45696</v>
      </c>
      <c r="C76" s="4">
        <v>3</v>
      </c>
      <c r="D76" s="4">
        <v>3</v>
      </c>
      <c r="E76" s="4">
        <v>3</v>
      </c>
      <c r="F76" s="4">
        <v>6</v>
      </c>
      <c r="G76" s="6">
        <v>0.35416666666666669</v>
      </c>
      <c r="H76" s="6">
        <v>0.35416666666666669</v>
      </c>
      <c r="I76" s="6">
        <v>0.4513888888888889</v>
      </c>
      <c r="J76" s="6">
        <v>0.44791666666666669</v>
      </c>
      <c r="K76" s="4">
        <v>190</v>
      </c>
      <c r="L76" s="16" t="s">
        <v>68</v>
      </c>
    </row>
    <row r="77" spans="1:12" x14ac:dyDescent="0.3">
      <c r="A77" s="15">
        <v>10076</v>
      </c>
      <c r="B77" s="5">
        <v>45696</v>
      </c>
      <c r="C77" s="4">
        <v>1</v>
      </c>
      <c r="D77" s="4">
        <v>2</v>
      </c>
      <c r="E77" s="4">
        <v>1</v>
      </c>
      <c r="F77" s="4">
        <v>8</v>
      </c>
      <c r="G77" s="6">
        <v>0.54166666666666663</v>
      </c>
      <c r="H77" s="6">
        <v>0.55902777777777779</v>
      </c>
      <c r="I77" s="6">
        <v>0.63888888888888884</v>
      </c>
      <c r="J77" s="6">
        <v>0.66319444444444442</v>
      </c>
      <c r="K77" s="4">
        <v>180</v>
      </c>
      <c r="L77" s="16" t="s">
        <v>69</v>
      </c>
    </row>
    <row r="78" spans="1:12" x14ac:dyDescent="0.3">
      <c r="A78" s="15">
        <v>10077</v>
      </c>
      <c r="B78" s="5">
        <v>45697</v>
      </c>
      <c r="C78" s="4">
        <v>4</v>
      </c>
      <c r="D78" s="4">
        <v>5</v>
      </c>
      <c r="E78" s="4">
        <v>6</v>
      </c>
      <c r="F78" s="4">
        <v>9</v>
      </c>
      <c r="G78" s="6">
        <v>0.28125</v>
      </c>
      <c r="H78" s="6">
        <v>0.28125</v>
      </c>
      <c r="I78" s="6">
        <v>0.38541666666666669</v>
      </c>
      <c r="J78" s="6">
        <v>0.3888888888888889</v>
      </c>
      <c r="K78" s="4">
        <v>290</v>
      </c>
      <c r="L78" s="16" t="s">
        <v>68</v>
      </c>
    </row>
    <row r="79" spans="1:12" x14ac:dyDescent="0.3">
      <c r="A79" s="15">
        <v>10078</v>
      </c>
      <c r="B79" s="5">
        <v>45697</v>
      </c>
      <c r="C79" s="4">
        <v>2</v>
      </c>
      <c r="D79" s="4">
        <v>1</v>
      </c>
      <c r="E79" s="4">
        <v>2</v>
      </c>
      <c r="F79" s="4">
        <v>5</v>
      </c>
      <c r="G79" s="6">
        <v>0.45833333333333331</v>
      </c>
      <c r="H79" s="6">
        <v>0.45833333333333331</v>
      </c>
      <c r="I79" s="6">
        <v>0.54861111111111116</v>
      </c>
      <c r="J79" s="6">
        <v>0.54513888888888884</v>
      </c>
      <c r="K79" s="4">
        <v>150</v>
      </c>
      <c r="L79" s="16" t="s">
        <v>68</v>
      </c>
    </row>
    <row r="80" spans="1:12" x14ac:dyDescent="0.3">
      <c r="A80" s="15">
        <v>10079</v>
      </c>
      <c r="B80" s="5">
        <v>45698</v>
      </c>
      <c r="C80" s="4">
        <v>3</v>
      </c>
      <c r="D80" s="4">
        <v>3</v>
      </c>
      <c r="E80" s="4">
        <v>4</v>
      </c>
      <c r="F80" s="4">
        <v>10</v>
      </c>
      <c r="G80" s="6">
        <v>0.39583333333333331</v>
      </c>
      <c r="H80" s="6">
        <v>0.41666666666666669</v>
      </c>
      <c r="I80" s="6">
        <v>0.49305555555555558</v>
      </c>
      <c r="J80" s="6">
        <v>0.52083333333333337</v>
      </c>
      <c r="K80" s="4">
        <v>205</v>
      </c>
      <c r="L80" s="16" t="s">
        <v>69</v>
      </c>
    </row>
    <row r="81" spans="1:12" x14ac:dyDescent="0.3">
      <c r="A81" s="15">
        <v>10080</v>
      </c>
      <c r="B81" s="5">
        <v>45698</v>
      </c>
      <c r="C81" s="4">
        <v>1</v>
      </c>
      <c r="D81" s="4">
        <v>1</v>
      </c>
      <c r="E81" s="4">
        <v>1</v>
      </c>
      <c r="F81" s="4">
        <v>7</v>
      </c>
      <c r="G81" s="6">
        <v>0.29166666666666669</v>
      </c>
      <c r="H81" s="6">
        <v>0.29166666666666669</v>
      </c>
      <c r="I81" s="6">
        <v>0.38194444444444442</v>
      </c>
      <c r="J81" s="6">
        <v>0.37847222222222221</v>
      </c>
      <c r="K81" s="4">
        <v>175</v>
      </c>
      <c r="L81" s="16" t="s">
        <v>68</v>
      </c>
    </row>
    <row r="82" spans="1:12" x14ac:dyDescent="0.3">
      <c r="A82" s="15">
        <v>10081</v>
      </c>
      <c r="B82" s="5">
        <v>45699</v>
      </c>
      <c r="C82" s="4">
        <v>5</v>
      </c>
      <c r="D82" s="4">
        <v>4</v>
      </c>
      <c r="E82" s="4">
        <v>9</v>
      </c>
      <c r="F82" s="4">
        <v>6</v>
      </c>
      <c r="G82" s="6">
        <v>0.50694444444444442</v>
      </c>
      <c r="H82" s="6">
        <v>0.50694444444444442</v>
      </c>
      <c r="I82" s="6">
        <v>0.60416666666666663</v>
      </c>
      <c r="J82" s="6">
        <v>0.60069444444444442</v>
      </c>
      <c r="K82" s="4">
        <v>245</v>
      </c>
      <c r="L82" s="16" t="s">
        <v>68</v>
      </c>
    </row>
    <row r="83" spans="1:12" x14ac:dyDescent="0.3">
      <c r="A83" s="15">
        <v>10082</v>
      </c>
      <c r="B83" s="5">
        <v>45699</v>
      </c>
      <c r="C83" s="4">
        <v>2</v>
      </c>
      <c r="D83" s="4">
        <v>2</v>
      </c>
      <c r="E83" s="4">
        <v>2</v>
      </c>
      <c r="F83" s="4">
        <v>8</v>
      </c>
      <c r="G83" s="6">
        <v>0.34722222222222221</v>
      </c>
      <c r="H83" s="6">
        <v>0.36805555555555558</v>
      </c>
      <c r="I83" s="6">
        <v>0.44444444444444442</v>
      </c>
      <c r="J83" s="6">
        <v>0.46875</v>
      </c>
      <c r="K83" s="4">
        <v>160</v>
      </c>
      <c r="L83" s="16" t="s">
        <v>69</v>
      </c>
    </row>
    <row r="84" spans="1:12" x14ac:dyDescent="0.3">
      <c r="A84" s="15">
        <v>10083</v>
      </c>
      <c r="B84" s="5">
        <v>45700</v>
      </c>
      <c r="C84" s="4">
        <v>3</v>
      </c>
      <c r="D84" s="4">
        <v>3</v>
      </c>
      <c r="E84" s="4">
        <v>3</v>
      </c>
      <c r="F84" s="4">
        <v>1</v>
      </c>
      <c r="G84" s="6">
        <v>0.28472222222222221</v>
      </c>
      <c r="H84" s="6">
        <v>0.28472222222222221</v>
      </c>
      <c r="I84" s="6">
        <v>0.375</v>
      </c>
      <c r="J84" s="6">
        <v>0.37152777777777779</v>
      </c>
      <c r="K84" s="4">
        <v>195</v>
      </c>
      <c r="L84" s="16" t="s">
        <v>68</v>
      </c>
    </row>
    <row r="85" spans="1:12" x14ac:dyDescent="0.3">
      <c r="A85" s="15">
        <v>10084</v>
      </c>
      <c r="B85" s="5">
        <v>45700</v>
      </c>
      <c r="C85" s="4">
        <v>4</v>
      </c>
      <c r="D85" s="4">
        <v>5</v>
      </c>
      <c r="E85" s="4">
        <v>6</v>
      </c>
      <c r="F85" s="4">
        <v>7</v>
      </c>
      <c r="G85" s="6">
        <v>0.58333333333333337</v>
      </c>
      <c r="H85" s="6">
        <v>0.58333333333333337</v>
      </c>
      <c r="I85" s="6">
        <v>0.6875</v>
      </c>
      <c r="J85" s="6">
        <v>0.69097222222222221</v>
      </c>
      <c r="K85" s="4">
        <v>300</v>
      </c>
      <c r="L85" s="16" t="s">
        <v>68</v>
      </c>
    </row>
    <row r="86" spans="1:12" x14ac:dyDescent="0.3">
      <c r="A86" s="15">
        <v>10085</v>
      </c>
      <c r="B86" s="5">
        <v>45701</v>
      </c>
      <c r="C86" s="4">
        <v>1</v>
      </c>
      <c r="D86" s="4">
        <v>2</v>
      </c>
      <c r="E86" s="4">
        <v>1</v>
      </c>
      <c r="F86" s="4">
        <v>10</v>
      </c>
      <c r="G86" s="6">
        <v>0.38194444444444442</v>
      </c>
      <c r="H86" s="6">
        <v>0.39930555555555558</v>
      </c>
      <c r="I86" s="6">
        <v>0.47222222222222221</v>
      </c>
      <c r="J86" s="6">
        <v>0.49652777777777779</v>
      </c>
      <c r="K86" s="4">
        <v>180</v>
      </c>
      <c r="L86" s="16" t="s">
        <v>69</v>
      </c>
    </row>
    <row r="87" spans="1:12" x14ac:dyDescent="0.3">
      <c r="A87" s="15">
        <v>10086</v>
      </c>
      <c r="B87" s="5">
        <v>45701</v>
      </c>
      <c r="C87" s="4">
        <v>2</v>
      </c>
      <c r="D87" s="4">
        <v>1</v>
      </c>
      <c r="E87" s="4">
        <v>2</v>
      </c>
      <c r="F87" s="4">
        <v>6</v>
      </c>
      <c r="G87" s="6">
        <v>0.31944444444444442</v>
      </c>
      <c r="H87" s="6">
        <v>0.31944444444444442</v>
      </c>
      <c r="I87" s="6">
        <v>0.40972222222222221</v>
      </c>
      <c r="J87" s="6">
        <v>0.40625</v>
      </c>
      <c r="K87" s="4">
        <v>155</v>
      </c>
      <c r="L87" s="16" t="s">
        <v>68</v>
      </c>
    </row>
    <row r="88" spans="1:12" x14ac:dyDescent="0.3">
      <c r="A88" s="15">
        <v>10087</v>
      </c>
      <c r="B88" s="5">
        <v>45702</v>
      </c>
      <c r="C88" s="4">
        <v>5</v>
      </c>
      <c r="D88" s="4">
        <v>4</v>
      </c>
      <c r="E88" s="4">
        <v>7</v>
      </c>
      <c r="F88" s="4">
        <v>3</v>
      </c>
      <c r="G88" s="6">
        <v>0.41666666666666669</v>
      </c>
      <c r="H88" s="6">
        <v>0.41666666666666669</v>
      </c>
      <c r="I88" s="6">
        <v>0.50694444444444442</v>
      </c>
      <c r="J88" s="6">
        <v>0.50347222222222221</v>
      </c>
      <c r="K88" s="4">
        <v>230</v>
      </c>
      <c r="L88" s="16" t="s">
        <v>68</v>
      </c>
    </row>
    <row r="89" spans="1:12" x14ac:dyDescent="0.3">
      <c r="A89" s="15">
        <v>10088</v>
      </c>
      <c r="B89" s="5">
        <v>45702</v>
      </c>
      <c r="C89" s="4">
        <v>3</v>
      </c>
      <c r="D89" s="4">
        <v>3</v>
      </c>
      <c r="E89" s="4">
        <v>4</v>
      </c>
      <c r="F89" s="4">
        <v>8</v>
      </c>
      <c r="G89" s="6">
        <v>0.5625</v>
      </c>
      <c r="H89" s="6">
        <v>0.58333333333333337</v>
      </c>
      <c r="I89" s="6">
        <v>0.65277777777777779</v>
      </c>
      <c r="J89" s="6">
        <v>0.68055555555555558</v>
      </c>
      <c r="K89" s="4">
        <v>190</v>
      </c>
      <c r="L89" s="16" t="s">
        <v>69</v>
      </c>
    </row>
    <row r="90" spans="1:12" x14ac:dyDescent="0.3">
      <c r="A90" s="15">
        <v>10089</v>
      </c>
      <c r="B90" s="5">
        <v>45703</v>
      </c>
      <c r="C90" s="4">
        <v>1</v>
      </c>
      <c r="D90" s="4">
        <v>1</v>
      </c>
      <c r="E90" s="4">
        <v>1</v>
      </c>
      <c r="F90" s="4">
        <v>5</v>
      </c>
      <c r="G90" s="6">
        <v>0.28125</v>
      </c>
      <c r="H90" s="6">
        <v>0.28125</v>
      </c>
      <c r="I90" s="6">
        <v>0.37152777777777779</v>
      </c>
      <c r="J90" s="6">
        <v>0.36805555555555558</v>
      </c>
      <c r="K90" s="4">
        <v>172</v>
      </c>
      <c r="L90" s="16" t="s">
        <v>68</v>
      </c>
    </row>
    <row r="91" spans="1:12" x14ac:dyDescent="0.3">
      <c r="A91" s="15">
        <v>10090</v>
      </c>
      <c r="B91" s="5">
        <v>45703</v>
      </c>
      <c r="C91" s="4">
        <v>4</v>
      </c>
      <c r="D91" s="4">
        <v>5</v>
      </c>
      <c r="E91" s="4">
        <v>6</v>
      </c>
      <c r="F91" s="4">
        <v>10</v>
      </c>
      <c r="G91" s="6">
        <v>0.45833333333333331</v>
      </c>
      <c r="H91" s="6">
        <v>0.45833333333333331</v>
      </c>
      <c r="I91" s="6">
        <v>0.5625</v>
      </c>
      <c r="J91" s="6">
        <v>0.56597222222222221</v>
      </c>
      <c r="K91" s="4">
        <v>295</v>
      </c>
      <c r="L91" s="16" t="s">
        <v>68</v>
      </c>
    </row>
    <row r="92" spans="1:12" x14ac:dyDescent="0.3">
      <c r="A92" s="15">
        <v>10091</v>
      </c>
      <c r="B92" s="5">
        <v>45704</v>
      </c>
      <c r="C92" s="4">
        <v>2</v>
      </c>
      <c r="D92" s="4">
        <v>2</v>
      </c>
      <c r="E92" s="4">
        <v>2</v>
      </c>
      <c r="F92" s="4">
        <v>9</v>
      </c>
      <c r="G92" s="6">
        <v>0.34027777777777779</v>
      </c>
      <c r="H92" s="6">
        <v>0.3611111111111111</v>
      </c>
      <c r="I92" s="6">
        <v>0.43055555555555558</v>
      </c>
      <c r="J92" s="6">
        <v>0.4548611111111111</v>
      </c>
      <c r="K92" s="4">
        <v>165</v>
      </c>
      <c r="L92" s="16" t="s">
        <v>69</v>
      </c>
    </row>
    <row r="93" spans="1:12" x14ac:dyDescent="0.3">
      <c r="A93" s="15">
        <v>10092</v>
      </c>
      <c r="B93" s="5">
        <v>45704</v>
      </c>
      <c r="C93" s="4">
        <v>3</v>
      </c>
      <c r="D93" s="4">
        <v>3</v>
      </c>
      <c r="E93" s="4">
        <v>3</v>
      </c>
      <c r="F93" s="4">
        <v>6</v>
      </c>
      <c r="G93" s="6">
        <v>0.29166666666666669</v>
      </c>
      <c r="H93" s="6">
        <v>0.29166666666666669</v>
      </c>
      <c r="I93" s="6">
        <v>0.38194444444444442</v>
      </c>
      <c r="J93" s="6">
        <v>0.37847222222222221</v>
      </c>
      <c r="K93" s="4">
        <v>190</v>
      </c>
      <c r="L93" s="16" t="s">
        <v>68</v>
      </c>
    </row>
    <row r="94" spans="1:12" x14ac:dyDescent="0.3">
      <c r="A94" s="15">
        <v>10093</v>
      </c>
      <c r="B94" s="5">
        <v>45705</v>
      </c>
      <c r="C94" s="4">
        <v>1</v>
      </c>
      <c r="D94" s="4">
        <v>2</v>
      </c>
      <c r="E94" s="4">
        <v>1</v>
      </c>
      <c r="F94" s="4">
        <v>8</v>
      </c>
      <c r="G94" s="6">
        <v>0.52083333333333337</v>
      </c>
      <c r="H94" s="6">
        <v>0.52083333333333337</v>
      </c>
      <c r="I94" s="6">
        <v>0.61111111111111116</v>
      </c>
      <c r="J94" s="6">
        <v>0.60763888888888884</v>
      </c>
      <c r="K94" s="4">
        <v>180</v>
      </c>
      <c r="L94" s="16" t="s">
        <v>68</v>
      </c>
    </row>
    <row r="95" spans="1:12" x14ac:dyDescent="0.3">
      <c r="A95" s="15">
        <v>10094</v>
      </c>
      <c r="B95" s="5">
        <v>45705</v>
      </c>
      <c r="C95" s="4">
        <v>5</v>
      </c>
      <c r="D95" s="4">
        <v>4</v>
      </c>
      <c r="E95" s="4">
        <v>9</v>
      </c>
      <c r="F95" s="4">
        <v>7</v>
      </c>
      <c r="G95" s="6">
        <v>0.3888888888888889</v>
      </c>
      <c r="H95" s="6">
        <v>0.40972222222222221</v>
      </c>
      <c r="I95" s="6">
        <v>0.4861111111111111</v>
      </c>
      <c r="J95" s="6">
        <v>0.51388888888888884</v>
      </c>
      <c r="K95" s="4">
        <v>240</v>
      </c>
      <c r="L95" s="16" t="s">
        <v>69</v>
      </c>
    </row>
    <row r="96" spans="1:12" x14ac:dyDescent="0.3">
      <c r="A96" s="15">
        <v>10095</v>
      </c>
      <c r="B96" s="5">
        <v>45706</v>
      </c>
      <c r="C96" s="4">
        <v>2</v>
      </c>
      <c r="D96" s="4">
        <v>1</v>
      </c>
      <c r="E96" s="4">
        <v>2</v>
      </c>
      <c r="F96" s="4">
        <v>4</v>
      </c>
      <c r="G96" s="6">
        <v>0.28472222222222221</v>
      </c>
      <c r="H96" s="6">
        <v>0.28472222222222221</v>
      </c>
      <c r="I96" s="6">
        <v>0.375</v>
      </c>
      <c r="J96" s="6">
        <v>0.37152777777777779</v>
      </c>
      <c r="K96" s="4">
        <v>155</v>
      </c>
      <c r="L96" s="16" t="s">
        <v>68</v>
      </c>
    </row>
    <row r="97" spans="1:12" x14ac:dyDescent="0.3">
      <c r="A97" s="15">
        <v>10096</v>
      </c>
      <c r="B97" s="5">
        <v>45706</v>
      </c>
      <c r="C97" s="4">
        <v>4</v>
      </c>
      <c r="D97" s="4">
        <v>5</v>
      </c>
      <c r="E97" s="4">
        <v>6</v>
      </c>
      <c r="F97" s="4">
        <v>1</v>
      </c>
      <c r="G97" s="6">
        <v>0.54166666666666663</v>
      </c>
      <c r="H97" s="6">
        <v>0.54166666666666663</v>
      </c>
      <c r="I97" s="6">
        <v>0.64583333333333337</v>
      </c>
      <c r="J97" s="6">
        <v>0.64930555555555558</v>
      </c>
      <c r="K97" s="4">
        <v>300</v>
      </c>
      <c r="L97" s="16" t="s">
        <v>68</v>
      </c>
    </row>
    <row r="98" spans="1:12" x14ac:dyDescent="0.3">
      <c r="A98" s="15">
        <v>10097</v>
      </c>
      <c r="B98" s="5">
        <v>45707</v>
      </c>
      <c r="C98" s="4">
        <v>3</v>
      </c>
      <c r="D98" s="4">
        <v>3</v>
      </c>
      <c r="E98" s="4">
        <v>4</v>
      </c>
      <c r="F98" s="4">
        <v>5</v>
      </c>
      <c r="G98" s="6">
        <v>0.35416666666666669</v>
      </c>
      <c r="H98" s="6">
        <v>0.375</v>
      </c>
      <c r="I98" s="6">
        <v>0.44444444444444442</v>
      </c>
      <c r="J98" s="6">
        <v>0.47222222222222221</v>
      </c>
      <c r="K98" s="4">
        <v>195</v>
      </c>
      <c r="L98" s="16" t="s">
        <v>69</v>
      </c>
    </row>
    <row r="99" spans="1:12" x14ac:dyDescent="0.3">
      <c r="A99" s="15">
        <v>10098</v>
      </c>
      <c r="B99" s="5">
        <v>45707</v>
      </c>
      <c r="C99" s="4">
        <v>1</v>
      </c>
      <c r="D99" s="4">
        <v>1</v>
      </c>
      <c r="E99" s="4">
        <v>1</v>
      </c>
      <c r="F99" s="4">
        <v>6</v>
      </c>
      <c r="G99" s="6">
        <v>0.2986111111111111</v>
      </c>
      <c r="H99" s="6">
        <v>0.2986111111111111</v>
      </c>
      <c r="I99" s="6">
        <v>0.3888888888888889</v>
      </c>
      <c r="J99" s="6">
        <v>0.38541666666666669</v>
      </c>
      <c r="K99" s="4">
        <v>175</v>
      </c>
      <c r="L99" s="16" t="s">
        <v>68</v>
      </c>
    </row>
    <row r="100" spans="1:12" x14ac:dyDescent="0.3">
      <c r="A100" s="15">
        <v>10099</v>
      </c>
      <c r="B100" s="5">
        <v>45708</v>
      </c>
      <c r="C100" s="4">
        <v>2</v>
      </c>
      <c r="D100" s="4">
        <v>2</v>
      </c>
      <c r="E100" s="4">
        <v>2</v>
      </c>
      <c r="F100" s="4">
        <v>7</v>
      </c>
      <c r="G100" s="6">
        <v>0.41666666666666669</v>
      </c>
      <c r="H100" s="6">
        <v>0.41666666666666669</v>
      </c>
      <c r="I100" s="6">
        <v>0.50694444444444442</v>
      </c>
      <c r="J100" s="6">
        <v>0.50347222222222221</v>
      </c>
      <c r="K100" s="4">
        <v>160</v>
      </c>
      <c r="L100" s="16" t="s">
        <v>68</v>
      </c>
    </row>
    <row r="101" spans="1:12" x14ac:dyDescent="0.3">
      <c r="A101" s="20">
        <v>10100</v>
      </c>
      <c r="B101" s="21">
        <v>45708</v>
      </c>
      <c r="C101" s="22">
        <v>5</v>
      </c>
      <c r="D101" s="22">
        <v>4</v>
      </c>
      <c r="E101" s="22">
        <v>10</v>
      </c>
      <c r="F101" s="22">
        <v>8</v>
      </c>
      <c r="G101" s="23">
        <v>0.59722222222222221</v>
      </c>
      <c r="H101" s="23">
        <v>0.61805555555555558</v>
      </c>
      <c r="I101" s="23">
        <v>0.70138888888888884</v>
      </c>
      <c r="J101" s="23">
        <v>0.72916666666666663</v>
      </c>
      <c r="K101" s="22">
        <v>250</v>
      </c>
      <c r="L101" s="24" t="s">
        <v>69</v>
      </c>
    </row>
    <row r="102" spans="1:12" x14ac:dyDescent="0.3">
      <c r="B102"/>
    </row>
    <row r="103" spans="1:12" x14ac:dyDescent="0.3">
      <c r="B103"/>
    </row>
    <row r="104" spans="1:12" x14ac:dyDescent="0.3">
      <c r="B104"/>
    </row>
    <row r="105" spans="1:12" x14ac:dyDescent="0.3">
      <c r="B105"/>
    </row>
    <row r="106" spans="1:12" x14ac:dyDescent="0.3">
      <c r="B106"/>
    </row>
    <row r="107" spans="1:12" x14ac:dyDescent="0.3">
      <c r="B107"/>
    </row>
    <row r="108" spans="1:12" x14ac:dyDescent="0.3">
      <c r="B108"/>
    </row>
    <row r="109" spans="1:12" x14ac:dyDescent="0.3">
      <c r="B109"/>
    </row>
    <row r="110" spans="1:12" x14ac:dyDescent="0.3">
      <c r="B110"/>
    </row>
    <row r="111" spans="1:12" x14ac:dyDescent="0.3">
      <c r="B111"/>
    </row>
    <row r="112" spans="1:1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D1D7-1039-4EDD-8699-0188C35FD383}">
  <dimension ref="A1:D34"/>
  <sheetViews>
    <sheetView workbookViewId="0">
      <selection activeCell="C5" sqref="C5"/>
    </sheetView>
  </sheetViews>
  <sheetFormatPr defaultRowHeight="14.4" x14ac:dyDescent="0.3"/>
  <cols>
    <col min="1" max="1" width="11.5546875" customWidth="1"/>
    <col min="2" max="2" width="11.44140625" customWidth="1"/>
    <col min="3" max="3" width="18.44140625" customWidth="1"/>
    <col min="4" max="4" width="17.21875" customWidth="1"/>
  </cols>
  <sheetData>
    <row r="1" spans="1:4" x14ac:dyDescent="0.3">
      <c r="A1" s="9" t="s">
        <v>65</v>
      </c>
      <c r="B1" s="10" t="s">
        <v>55</v>
      </c>
      <c r="C1" s="10" t="s">
        <v>66</v>
      </c>
      <c r="D1" s="11" t="s">
        <v>67</v>
      </c>
    </row>
    <row r="2" spans="1:4" x14ac:dyDescent="0.3">
      <c r="A2" s="15">
        <v>1</v>
      </c>
      <c r="B2" s="4">
        <v>10002</v>
      </c>
      <c r="C2" s="4" t="s">
        <v>70</v>
      </c>
      <c r="D2" s="16">
        <v>35</v>
      </c>
    </row>
    <row r="3" spans="1:4" x14ac:dyDescent="0.3">
      <c r="A3" s="15">
        <v>2</v>
      </c>
      <c r="B3" s="4">
        <v>10004</v>
      </c>
      <c r="C3" s="4" t="s">
        <v>71</v>
      </c>
      <c r="D3" s="16">
        <v>28</v>
      </c>
    </row>
    <row r="4" spans="1:4" x14ac:dyDescent="0.3">
      <c r="A4" s="15">
        <v>3</v>
      </c>
      <c r="B4" s="4">
        <v>10007</v>
      </c>
      <c r="C4" s="4" t="s">
        <v>72</v>
      </c>
      <c r="D4" s="16">
        <v>42</v>
      </c>
    </row>
    <row r="5" spans="1:4" x14ac:dyDescent="0.3">
      <c r="A5" s="15">
        <v>4</v>
      </c>
      <c r="B5" s="4">
        <v>10010</v>
      </c>
      <c r="C5" s="4" t="s">
        <v>73</v>
      </c>
      <c r="D5" s="16">
        <v>25</v>
      </c>
    </row>
    <row r="6" spans="1:4" x14ac:dyDescent="0.3">
      <c r="A6" s="15">
        <v>5</v>
      </c>
      <c r="B6" s="4">
        <v>10014</v>
      </c>
      <c r="C6" s="4" t="s">
        <v>70</v>
      </c>
      <c r="D6" s="16">
        <v>50</v>
      </c>
    </row>
    <row r="7" spans="1:4" x14ac:dyDescent="0.3">
      <c r="A7" s="15">
        <v>6</v>
      </c>
      <c r="B7" s="4">
        <v>10017</v>
      </c>
      <c r="C7" s="4" t="s">
        <v>74</v>
      </c>
      <c r="D7" s="16">
        <v>38</v>
      </c>
    </row>
    <row r="8" spans="1:4" x14ac:dyDescent="0.3">
      <c r="A8" s="15">
        <v>7</v>
      </c>
      <c r="B8" s="4">
        <v>10020</v>
      </c>
      <c r="C8" s="4" t="s">
        <v>72</v>
      </c>
      <c r="D8" s="16">
        <v>45</v>
      </c>
    </row>
    <row r="9" spans="1:4" x14ac:dyDescent="0.3">
      <c r="A9" s="15">
        <v>8</v>
      </c>
      <c r="B9" s="4">
        <v>10023</v>
      </c>
      <c r="C9" s="4" t="s">
        <v>71</v>
      </c>
      <c r="D9" s="16">
        <v>30</v>
      </c>
    </row>
    <row r="10" spans="1:4" x14ac:dyDescent="0.3">
      <c r="A10" s="15">
        <v>9</v>
      </c>
      <c r="B10" s="4">
        <v>10027</v>
      </c>
      <c r="C10" s="4" t="s">
        <v>70</v>
      </c>
      <c r="D10" s="16">
        <v>33</v>
      </c>
    </row>
    <row r="11" spans="1:4" x14ac:dyDescent="0.3">
      <c r="A11" s="15">
        <v>10</v>
      </c>
      <c r="B11" s="4">
        <v>10030</v>
      </c>
      <c r="C11" s="4" t="s">
        <v>73</v>
      </c>
      <c r="D11" s="16">
        <v>40</v>
      </c>
    </row>
    <row r="12" spans="1:4" x14ac:dyDescent="0.3">
      <c r="A12" s="15">
        <v>11</v>
      </c>
      <c r="B12" s="4">
        <v>10033</v>
      </c>
      <c r="C12" s="4" t="s">
        <v>72</v>
      </c>
      <c r="D12" s="16">
        <v>55</v>
      </c>
    </row>
    <row r="13" spans="1:4" x14ac:dyDescent="0.3">
      <c r="A13" s="15">
        <v>12</v>
      </c>
      <c r="B13" s="4">
        <v>10036</v>
      </c>
      <c r="C13" s="4" t="s">
        <v>74</v>
      </c>
      <c r="D13" s="16">
        <v>47</v>
      </c>
    </row>
    <row r="14" spans="1:4" x14ac:dyDescent="0.3">
      <c r="A14" s="15">
        <v>13</v>
      </c>
      <c r="B14" s="4">
        <v>10039</v>
      </c>
      <c r="C14" s="4" t="s">
        <v>71</v>
      </c>
      <c r="D14" s="16">
        <v>29</v>
      </c>
    </row>
    <row r="15" spans="1:4" x14ac:dyDescent="0.3">
      <c r="A15" s="15">
        <v>14</v>
      </c>
      <c r="B15" s="4">
        <v>10042</v>
      </c>
      <c r="C15" s="4" t="s">
        <v>70</v>
      </c>
      <c r="D15" s="16">
        <v>60</v>
      </c>
    </row>
    <row r="16" spans="1:4" x14ac:dyDescent="0.3">
      <c r="A16" s="15">
        <v>15</v>
      </c>
      <c r="B16" s="4">
        <v>10045</v>
      </c>
      <c r="C16" s="4" t="s">
        <v>73</v>
      </c>
      <c r="D16" s="16">
        <v>35</v>
      </c>
    </row>
    <row r="17" spans="1:4" x14ac:dyDescent="0.3">
      <c r="A17" s="15">
        <v>16</v>
      </c>
      <c r="B17" s="4">
        <v>10048</v>
      </c>
      <c r="C17" s="4" t="s">
        <v>72</v>
      </c>
      <c r="D17" s="16">
        <v>52</v>
      </c>
    </row>
    <row r="18" spans="1:4" x14ac:dyDescent="0.3">
      <c r="A18" s="15">
        <v>17</v>
      </c>
      <c r="B18" s="4">
        <v>10052</v>
      </c>
      <c r="C18" s="4" t="s">
        <v>71</v>
      </c>
      <c r="D18" s="16">
        <v>41</v>
      </c>
    </row>
    <row r="19" spans="1:4" x14ac:dyDescent="0.3">
      <c r="A19" s="15">
        <v>18</v>
      </c>
      <c r="B19" s="4">
        <v>10055</v>
      </c>
      <c r="C19" s="4" t="s">
        <v>70</v>
      </c>
      <c r="D19" s="16">
        <v>48</v>
      </c>
    </row>
    <row r="20" spans="1:4" x14ac:dyDescent="0.3">
      <c r="A20" s="15">
        <v>19</v>
      </c>
      <c r="B20" s="4">
        <v>10058</v>
      </c>
      <c r="C20" s="4" t="s">
        <v>74</v>
      </c>
      <c r="D20" s="16">
        <v>36</v>
      </c>
    </row>
    <row r="21" spans="1:4" x14ac:dyDescent="0.3">
      <c r="A21" s="15">
        <v>20</v>
      </c>
      <c r="B21" s="4">
        <v>10061</v>
      </c>
      <c r="C21" s="4" t="s">
        <v>73</v>
      </c>
      <c r="D21" s="16">
        <v>44</v>
      </c>
    </row>
    <row r="22" spans="1:4" x14ac:dyDescent="0.3">
      <c r="A22" s="15">
        <v>21</v>
      </c>
      <c r="B22" s="4">
        <v>10064</v>
      </c>
      <c r="C22" s="4" t="s">
        <v>72</v>
      </c>
      <c r="D22" s="16">
        <v>58</v>
      </c>
    </row>
    <row r="23" spans="1:4" x14ac:dyDescent="0.3">
      <c r="A23" s="15">
        <v>22</v>
      </c>
      <c r="B23" s="4">
        <v>10067</v>
      </c>
      <c r="C23" s="4" t="s">
        <v>70</v>
      </c>
      <c r="D23" s="16">
        <v>39</v>
      </c>
    </row>
    <row r="24" spans="1:4" x14ac:dyDescent="0.3">
      <c r="A24" s="15">
        <v>23</v>
      </c>
      <c r="B24" s="4">
        <v>10070</v>
      </c>
      <c r="C24" s="4" t="s">
        <v>71</v>
      </c>
      <c r="D24" s="16">
        <v>46</v>
      </c>
    </row>
    <row r="25" spans="1:4" x14ac:dyDescent="0.3">
      <c r="A25" s="15">
        <v>24</v>
      </c>
      <c r="B25" s="4">
        <v>10073</v>
      </c>
      <c r="C25" s="4" t="s">
        <v>73</v>
      </c>
      <c r="D25" s="16">
        <v>34</v>
      </c>
    </row>
    <row r="26" spans="1:4" x14ac:dyDescent="0.3">
      <c r="A26" s="15">
        <v>25</v>
      </c>
      <c r="B26" s="4">
        <v>10076</v>
      </c>
      <c r="C26" s="4" t="s">
        <v>72</v>
      </c>
      <c r="D26" s="16">
        <v>53</v>
      </c>
    </row>
    <row r="27" spans="1:4" x14ac:dyDescent="0.3">
      <c r="A27" s="15">
        <v>26</v>
      </c>
      <c r="B27" s="4">
        <v>10079</v>
      </c>
      <c r="C27" s="4" t="s">
        <v>70</v>
      </c>
      <c r="D27" s="16">
        <v>62</v>
      </c>
    </row>
    <row r="28" spans="1:4" x14ac:dyDescent="0.3">
      <c r="A28" s="15">
        <v>27</v>
      </c>
      <c r="B28" s="4">
        <v>10082</v>
      </c>
      <c r="C28" s="4" t="s">
        <v>74</v>
      </c>
      <c r="D28" s="16">
        <v>37</v>
      </c>
    </row>
    <row r="29" spans="1:4" x14ac:dyDescent="0.3">
      <c r="A29" s="15">
        <v>28</v>
      </c>
      <c r="B29" s="4">
        <v>10085</v>
      </c>
      <c r="C29" s="4" t="s">
        <v>71</v>
      </c>
      <c r="D29" s="16">
        <v>43</v>
      </c>
    </row>
    <row r="30" spans="1:4" x14ac:dyDescent="0.3">
      <c r="A30" s="15">
        <v>29</v>
      </c>
      <c r="B30" s="4">
        <v>10088</v>
      </c>
      <c r="C30" s="4" t="s">
        <v>73</v>
      </c>
      <c r="D30" s="16">
        <v>31</v>
      </c>
    </row>
    <row r="31" spans="1:4" x14ac:dyDescent="0.3">
      <c r="A31" s="15">
        <v>30</v>
      </c>
      <c r="B31" s="4">
        <v>10091</v>
      </c>
      <c r="C31" s="4" t="s">
        <v>72</v>
      </c>
      <c r="D31" s="16">
        <v>57</v>
      </c>
    </row>
    <row r="32" spans="1:4" x14ac:dyDescent="0.3">
      <c r="A32" s="15">
        <v>31</v>
      </c>
      <c r="B32" s="4">
        <v>10094</v>
      </c>
      <c r="C32" s="4" t="s">
        <v>70</v>
      </c>
      <c r="D32" s="16">
        <v>49</v>
      </c>
    </row>
    <row r="33" spans="1:4" x14ac:dyDescent="0.3">
      <c r="A33" s="15">
        <v>32</v>
      </c>
      <c r="B33" s="4">
        <v>10097</v>
      </c>
      <c r="C33" s="4" t="s">
        <v>71</v>
      </c>
      <c r="D33" s="16">
        <v>44</v>
      </c>
    </row>
    <row r="34" spans="1:4" x14ac:dyDescent="0.3">
      <c r="A34" s="20">
        <v>33</v>
      </c>
      <c r="B34" s="22">
        <v>10100</v>
      </c>
      <c r="C34" s="22" t="s">
        <v>74</v>
      </c>
      <c r="D34" s="24">
        <v>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95F3-A0DD-487B-8F1D-50FDF6E1C7AC}">
  <dimension ref="B4:AK72"/>
  <sheetViews>
    <sheetView topLeftCell="A9" zoomScale="70" zoomScaleNormal="70" workbookViewId="0">
      <selection activeCell="AI44" sqref="AI44"/>
    </sheetView>
  </sheetViews>
  <sheetFormatPr defaultRowHeight="14.4" x14ac:dyDescent="0.3"/>
  <cols>
    <col min="2" max="2" width="20.21875" bestFit="1" customWidth="1"/>
    <col min="3" max="3" width="14.44140625" bestFit="1" customWidth="1"/>
    <col min="4" max="5" width="12.5546875" bestFit="1" customWidth="1"/>
    <col min="6" max="7" width="6" bestFit="1" customWidth="1"/>
    <col min="8" max="8" width="20.21875" bestFit="1" customWidth="1"/>
    <col min="9" max="9" width="16.6640625" bestFit="1" customWidth="1"/>
    <col min="10" max="10" width="20.21875" bestFit="1" customWidth="1"/>
    <col min="11" max="11" width="32.77734375" bestFit="1" customWidth="1"/>
    <col min="12" max="17" width="6.109375" bestFit="1" customWidth="1"/>
    <col min="18" max="18" width="16.44140625" bestFit="1" customWidth="1"/>
    <col min="19" max="19" width="12.44140625" bestFit="1" customWidth="1"/>
    <col min="20" max="20" width="21.88671875" bestFit="1" customWidth="1"/>
    <col min="21" max="21" width="14.5546875" bestFit="1" customWidth="1"/>
    <col min="22" max="34" width="6.109375" bestFit="1" customWidth="1"/>
    <col min="35" max="35" width="21.88671875" bestFit="1" customWidth="1"/>
    <col min="36" max="36" width="22.33203125" bestFit="1" customWidth="1"/>
    <col min="37" max="37" width="33.44140625" bestFit="1" customWidth="1"/>
    <col min="38" max="108" width="6.109375" bestFit="1" customWidth="1"/>
    <col min="109" max="109" width="13.21875" bestFit="1" customWidth="1"/>
  </cols>
  <sheetData>
    <row r="4" spans="2:37" x14ac:dyDescent="0.3">
      <c r="B4" s="90" t="s">
        <v>75</v>
      </c>
      <c r="C4" s="91" t="s">
        <v>77</v>
      </c>
      <c r="H4" s="90" t="s">
        <v>75</v>
      </c>
      <c r="I4" s="91" t="s">
        <v>78</v>
      </c>
      <c r="R4" s="90" t="s">
        <v>75</v>
      </c>
      <c r="S4" s="91" t="s">
        <v>78</v>
      </c>
    </row>
    <row r="5" spans="2:37" x14ac:dyDescent="0.3">
      <c r="B5" s="91" t="s">
        <v>68</v>
      </c>
      <c r="C5" s="92">
        <v>13964</v>
      </c>
      <c r="H5" s="91" t="s">
        <v>87</v>
      </c>
      <c r="I5" s="92">
        <v>60</v>
      </c>
      <c r="R5" s="91" t="s">
        <v>71</v>
      </c>
      <c r="S5" s="92">
        <v>7</v>
      </c>
    </row>
    <row r="6" spans="2:37" x14ac:dyDescent="0.3">
      <c r="B6" s="91" t="s">
        <v>69</v>
      </c>
      <c r="C6" s="92">
        <v>6481</v>
      </c>
      <c r="H6" s="91" t="s">
        <v>88</v>
      </c>
      <c r="I6" s="92">
        <v>40</v>
      </c>
      <c r="R6" s="91" t="s">
        <v>73</v>
      </c>
      <c r="S6" s="92">
        <v>6</v>
      </c>
    </row>
    <row r="7" spans="2:37" x14ac:dyDescent="0.3">
      <c r="B7" s="91" t="s">
        <v>76</v>
      </c>
      <c r="C7" s="92">
        <v>20445</v>
      </c>
      <c r="H7" s="91" t="s">
        <v>76</v>
      </c>
      <c r="I7" s="92">
        <v>100</v>
      </c>
      <c r="R7" s="91" t="s">
        <v>74</v>
      </c>
      <c r="S7" s="92">
        <v>5</v>
      </c>
    </row>
    <row r="8" spans="2:37" x14ac:dyDescent="0.3">
      <c r="R8" s="91" t="s">
        <v>72</v>
      </c>
      <c r="S8" s="92">
        <v>7</v>
      </c>
    </row>
    <row r="9" spans="2:37" x14ac:dyDescent="0.3">
      <c r="R9" s="91" t="s">
        <v>70</v>
      </c>
      <c r="S9" s="92">
        <v>8</v>
      </c>
    </row>
    <row r="10" spans="2:37" x14ac:dyDescent="0.3">
      <c r="R10" s="91" t="s">
        <v>76</v>
      </c>
      <c r="S10" s="92">
        <v>33</v>
      </c>
    </row>
    <row r="15" spans="2:37" x14ac:dyDescent="0.3">
      <c r="AI15" s="90" t="s">
        <v>75</v>
      </c>
      <c r="AJ15" s="91" t="s">
        <v>97</v>
      </c>
      <c r="AK15" s="91" t="s">
        <v>94</v>
      </c>
    </row>
    <row r="16" spans="2:37" x14ac:dyDescent="0.3">
      <c r="AI16" s="91">
        <v>1</v>
      </c>
      <c r="AJ16" s="92">
        <v>23</v>
      </c>
      <c r="AK16" s="102">
        <v>38.222222222222221</v>
      </c>
    </row>
    <row r="17" spans="35:37" x14ac:dyDescent="0.3">
      <c r="AI17" s="91">
        <v>2</v>
      </c>
      <c r="AJ17" s="92">
        <v>23</v>
      </c>
      <c r="AK17" s="102">
        <v>44.777777777777779</v>
      </c>
    </row>
    <row r="18" spans="35:37" x14ac:dyDescent="0.3">
      <c r="AI18" s="91">
        <v>3</v>
      </c>
      <c r="AJ18" s="92">
        <v>21</v>
      </c>
      <c r="AK18" s="102">
        <v>44.444444444444443</v>
      </c>
    </row>
    <row r="19" spans="35:37" x14ac:dyDescent="0.3">
      <c r="AI19" s="91">
        <v>4</v>
      </c>
      <c r="AJ19" s="92">
        <v>17</v>
      </c>
      <c r="AK19" s="102"/>
    </row>
    <row r="20" spans="35:37" x14ac:dyDescent="0.3">
      <c r="AI20" s="91">
        <v>5</v>
      </c>
      <c r="AJ20" s="92">
        <v>16</v>
      </c>
      <c r="AK20" s="102">
        <v>43.166666666666664</v>
      </c>
    </row>
    <row r="21" spans="35:37" x14ac:dyDescent="0.3">
      <c r="AI21" s="91" t="s">
        <v>76</v>
      </c>
      <c r="AJ21" s="92">
        <v>100</v>
      </c>
      <c r="AK21" s="102">
        <v>42.606060606060609</v>
      </c>
    </row>
    <row r="33" spans="2:21" x14ac:dyDescent="0.3">
      <c r="B33" s="90" t="s">
        <v>75</v>
      </c>
      <c r="C33" s="91" t="s">
        <v>91</v>
      </c>
      <c r="J33" s="90" t="s">
        <v>75</v>
      </c>
      <c r="K33" s="91" t="s">
        <v>94</v>
      </c>
      <c r="T33" s="90" t="s">
        <v>75</v>
      </c>
      <c r="U33" s="91" t="s">
        <v>78</v>
      </c>
    </row>
    <row r="34" spans="2:21" x14ac:dyDescent="0.3">
      <c r="B34" s="91" t="s">
        <v>71</v>
      </c>
      <c r="C34" s="102">
        <v>37.285714285714285</v>
      </c>
      <c r="J34" s="91" t="s">
        <v>87</v>
      </c>
      <c r="K34" s="102">
        <v>40.473684210526315</v>
      </c>
      <c r="T34" s="91">
        <v>1</v>
      </c>
      <c r="U34" s="92">
        <v>9</v>
      </c>
    </row>
    <row r="35" spans="2:21" x14ac:dyDescent="0.3">
      <c r="B35" s="91" t="s">
        <v>73</v>
      </c>
      <c r="C35" s="102">
        <v>34.833333333333336</v>
      </c>
      <c r="J35" s="91" t="s">
        <v>88</v>
      </c>
      <c r="K35" s="102">
        <v>45.5</v>
      </c>
      <c r="T35" s="91">
        <v>2</v>
      </c>
      <c r="U35" s="92">
        <v>8</v>
      </c>
    </row>
    <row r="36" spans="2:21" x14ac:dyDescent="0.3">
      <c r="B36" s="91" t="s">
        <v>74</v>
      </c>
      <c r="C36" s="102">
        <v>39.6</v>
      </c>
      <c r="J36" s="91" t="s">
        <v>76</v>
      </c>
      <c r="K36" s="102">
        <v>42.606060606060609</v>
      </c>
      <c r="T36" s="91">
        <v>3</v>
      </c>
      <c r="U36" s="92">
        <v>4</v>
      </c>
    </row>
    <row r="37" spans="2:21" x14ac:dyDescent="0.3">
      <c r="B37" s="91" t="s">
        <v>72</v>
      </c>
      <c r="C37" s="102">
        <v>51.714285714285715</v>
      </c>
      <c r="T37" s="91">
        <v>4</v>
      </c>
      <c r="U37" s="92">
        <v>6</v>
      </c>
    </row>
    <row r="38" spans="2:21" x14ac:dyDescent="0.3">
      <c r="B38" s="91" t="s">
        <v>70</v>
      </c>
      <c r="C38" s="102">
        <v>47</v>
      </c>
      <c r="T38" s="91">
        <v>5</v>
      </c>
      <c r="U38" s="92">
        <v>1</v>
      </c>
    </row>
    <row r="39" spans="2:21" x14ac:dyDescent="0.3">
      <c r="B39" s="91" t="s">
        <v>76</v>
      </c>
      <c r="C39" s="102">
        <v>42.606060606060609</v>
      </c>
      <c r="T39" s="91">
        <v>7</v>
      </c>
      <c r="U39" s="92">
        <v>1</v>
      </c>
    </row>
    <row r="40" spans="2:21" x14ac:dyDescent="0.3">
      <c r="T40" s="91">
        <v>9</v>
      </c>
      <c r="U40" s="92">
        <v>4</v>
      </c>
    </row>
    <row r="41" spans="2:21" x14ac:dyDescent="0.3">
      <c r="T41" s="91">
        <v>10</v>
      </c>
      <c r="U41" s="92">
        <v>1</v>
      </c>
    </row>
    <row r="42" spans="2:21" x14ac:dyDescent="0.3">
      <c r="T42" s="91" t="s">
        <v>76</v>
      </c>
      <c r="U42" s="92">
        <v>34</v>
      </c>
    </row>
    <row r="62" spans="2:11" x14ac:dyDescent="0.3">
      <c r="B62" s="90" t="s">
        <v>75</v>
      </c>
      <c r="C62" s="91" t="s">
        <v>78</v>
      </c>
    </row>
    <row r="63" spans="2:11" x14ac:dyDescent="0.3">
      <c r="B63" s="91">
        <v>1</v>
      </c>
      <c r="C63" s="92">
        <v>1</v>
      </c>
      <c r="J63" s="89" t="s">
        <v>75</v>
      </c>
      <c r="K63" s="2" t="s">
        <v>94</v>
      </c>
    </row>
    <row r="64" spans="2:11" x14ac:dyDescent="0.3">
      <c r="B64" s="91">
        <v>2</v>
      </c>
      <c r="C64" s="92">
        <v>1</v>
      </c>
      <c r="J64" s="2">
        <v>1</v>
      </c>
      <c r="K64" s="104">
        <v>38.222222222222221</v>
      </c>
    </row>
    <row r="65" spans="2:11" x14ac:dyDescent="0.3">
      <c r="B65" s="91">
        <v>3</v>
      </c>
      <c r="C65" s="92">
        <v>2</v>
      </c>
      <c r="J65" s="2">
        <v>2</v>
      </c>
      <c r="K65" s="104">
        <v>45.125</v>
      </c>
    </row>
    <row r="66" spans="2:11" x14ac:dyDescent="0.3">
      <c r="B66" s="91">
        <v>5</v>
      </c>
      <c r="C66" s="92">
        <v>3</v>
      </c>
      <c r="J66" s="2">
        <v>3</v>
      </c>
      <c r="K66" s="104">
        <v>43.666666666666664</v>
      </c>
    </row>
    <row r="67" spans="2:11" x14ac:dyDescent="0.3">
      <c r="B67" s="91">
        <v>6</v>
      </c>
      <c r="C67" s="92">
        <v>1</v>
      </c>
      <c r="J67" s="2">
        <v>4</v>
      </c>
      <c r="K67" s="104">
        <v>44.833333333333336</v>
      </c>
    </row>
    <row r="68" spans="2:11" x14ac:dyDescent="0.3">
      <c r="B68" s="91">
        <v>7</v>
      </c>
      <c r="C68" s="92">
        <v>7</v>
      </c>
      <c r="J68" s="2">
        <v>5</v>
      </c>
      <c r="K68" s="104">
        <v>42</v>
      </c>
    </row>
    <row r="69" spans="2:11" x14ac:dyDescent="0.3">
      <c r="B69" s="91">
        <v>8</v>
      </c>
      <c r="C69" s="92">
        <v>8</v>
      </c>
      <c r="J69" s="2">
        <v>7</v>
      </c>
      <c r="K69" s="104">
        <v>48</v>
      </c>
    </row>
    <row r="70" spans="2:11" x14ac:dyDescent="0.3">
      <c r="B70" s="91">
        <v>9</v>
      </c>
      <c r="C70" s="92">
        <v>7</v>
      </c>
      <c r="J70" s="2">
        <v>9</v>
      </c>
      <c r="K70" s="104">
        <v>42.75</v>
      </c>
    </row>
    <row r="71" spans="2:11" x14ac:dyDescent="0.3">
      <c r="B71" s="91">
        <v>10</v>
      </c>
      <c r="C71" s="92">
        <v>4</v>
      </c>
      <c r="J71" s="2">
        <v>10</v>
      </c>
      <c r="K71" s="104">
        <v>40</v>
      </c>
    </row>
    <row r="72" spans="2:11" x14ac:dyDescent="0.3">
      <c r="B72" s="91" t="s">
        <v>76</v>
      </c>
      <c r="C72" s="92">
        <v>34</v>
      </c>
      <c r="J72" s="2" t="s">
        <v>76</v>
      </c>
      <c r="K72" s="104">
        <v>42.606060606060609</v>
      </c>
    </row>
  </sheetData>
  <pageMargins left="0.7" right="0.7" top="0.75" bottom="0.75" header="0.3" footer="0.3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5CF4-2E0D-4102-851B-05732F15E457}">
  <dimension ref="A1:R26"/>
  <sheetViews>
    <sheetView showGridLines="0" tabSelected="1" zoomScale="55" zoomScaleNormal="55" workbookViewId="0">
      <selection activeCell="A8" sqref="A8:I10"/>
    </sheetView>
  </sheetViews>
  <sheetFormatPr defaultRowHeight="14.4" x14ac:dyDescent="0.3"/>
  <sheetData>
    <row r="1" spans="1:18" ht="14.4" customHeight="1" x14ac:dyDescent="0.3">
      <c r="A1" s="41" t="s">
        <v>79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</row>
    <row r="2" spans="1:18" ht="14.4" customHeight="1" x14ac:dyDescent="0.3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1:18" ht="14.4" customHeight="1" x14ac:dyDescent="0.3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6"/>
    </row>
    <row r="4" spans="1:18" ht="14.4" customHeight="1" x14ac:dyDescent="0.3">
      <c r="A4" s="44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6"/>
    </row>
    <row r="5" spans="1:18" ht="14.4" customHeight="1" x14ac:dyDescent="0.3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6"/>
    </row>
    <row r="6" spans="1:18" ht="14.4" customHeight="1" x14ac:dyDescent="0.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9"/>
    </row>
    <row r="8" spans="1:18" ht="14.4" customHeight="1" x14ac:dyDescent="0.3">
      <c r="A8" s="50" t="s">
        <v>80</v>
      </c>
      <c r="B8" s="51"/>
      <c r="C8" s="51"/>
      <c r="D8" s="51"/>
      <c r="E8" s="51"/>
      <c r="F8" s="51"/>
      <c r="G8" s="51"/>
      <c r="H8" s="51"/>
      <c r="I8" s="52"/>
    </row>
    <row r="9" spans="1:18" ht="14.4" customHeight="1" x14ac:dyDescent="0.3">
      <c r="A9" s="53"/>
      <c r="B9" s="54"/>
      <c r="C9" s="54"/>
      <c r="D9" s="54"/>
      <c r="E9" s="54"/>
      <c r="F9" s="54"/>
      <c r="G9" s="54"/>
      <c r="H9" s="54"/>
      <c r="I9" s="55"/>
    </row>
    <row r="10" spans="1:18" ht="14.4" customHeight="1" x14ac:dyDescent="0.3">
      <c r="A10" s="56"/>
      <c r="B10" s="57"/>
      <c r="C10" s="57"/>
      <c r="D10" s="57"/>
      <c r="E10" s="57"/>
      <c r="F10" s="57"/>
      <c r="G10" s="57"/>
      <c r="H10" s="57"/>
      <c r="I10" s="58"/>
    </row>
    <row r="13" spans="1:18" x14ac:dyDescent="0.3">
      <c r="B13" s="26" t="s">
        <v>81</v>
      </c>
      <c r="C13" s="27"/>
      <c r="D13" s="27"/>
      <c r="E13" s="28"/>
      <c r="H13" s="26" t="s">
        <v>82</v>
      </c>
      <c r="I13" s="27"/>
      <c r="J13" s="27"/>
      <c r="K13" s="28"/>
      <c r="N13" s="26" t="s">
        <v>83</v>
      </c>
      <c r="O13" s="27"/>
      <c r="P13" s="27"/>
      <c r="Q13" s="28"/>
    </row>
    <row r="14" spans="1:18" x14ac:dyDescent="0.3">
      <c r="B14" s="29"/>
      <c r="C14" s="30"/>
      <c r="D14" s="30"/>
      <c r="E14" s="31"/>
      <c r="F14" s="25"/>
      <c r="H14" s="29"/>
      <c r="I14" s="30"/>
      <c r="J14" s="30"/>
      <c r="K14" s="31"/>
      <c r="N14" s="29"/>
      <c r="O14" s="30"/>
      <c r="P14" s="30"/>
      <c r="Q14" s="31"/>
    </row>
    <row r="15" spans="1:18" x14ac:dyDescent="0.3">
      <c r="B15" s="29"/>
      <c r="C15" s="30"/>
      <c r="D15" s="30"/>
      <c r="E15" s="31"/>
      <c r="H15" s="29"/>
      <c r="I15" s="30"/>
      <c r="J15" s="30"/>
      <c r="K15" s="31"/>
      <c r="N15" s="29"/>
      <c r="O15" s="30"/>
      <c r="P15" s="30"/>
      <c r="Q15" s="31"/>
    </row>
    <row r="16" spans="1:18" x14ac:dyDescent="0.3">
      <c r="B16" s="32"/>
      <c r="C16" s="33"/>
      <c r="D16" s="33"/>
      <c r="E16" s="34"/>
      <c r="H16" s="32"/>
      <c r="I16" s="33"/>
      <c r="J16" s="33"/>
      <c r="K16" s="34"/>
      <c r="N16" s="32"/>
      <c r="O16" s="33"/>
      <c r="P16" s="33"/>
      <c r="Q16" s="34"/>
    </row>
    <row r="17" spans="2:17" x14ac:dyDescent="0.3">
      <c r="B17" s="35">
        <f>COUNTA(Flights_Data!A:A)-1</f>
        <v>100</v>
      </c>
      <c r="C17" s="36"/>
      <c r="D17" s="36"/>
      <c r="E17" s="37"/>
      <c r="H17" s="59">
        <f>COUNTIF(Flights_Data!L:L, "Completed")</f>
        <v>66</v>
      </c>
      <c r="I17" s="60"/>
      <c r="J17" s="60"/>
      <c r="K17" s="61"/>
      <c r="N17" s="65">
        <f>COUNTIF(Flights_Data!L:L, "Delayed")</f>
        <v>34</v>
      </c>
      <c r="O17" s="66"/>
      <c r="P17" s="66"/>
      <c r="Q17" s="67"/>
    </row>
    <row r="18" spans="2:17" x14ac:dyDescent="0.3">
      <c r="B18" s="38"/>
      <c r="C18" s="39"/>
      <c r="D18" s="39"/>
      <c r="E18" s="40"/>
      <c r="H18" s="62"/>
      <c r="I18" s="63"/>
      <c r="J18" s="63"/>
      <c r="K18" s="64"/>
      <c r="N18" s="68"/>
      <c r="O18" s="69"/>
      <c r="P18" s="69"/>
      <c r="Q18" s="70"/>
    </row>
    <row r="21" spans="2:17" x14ac:dyDescent="0.3">
      <c r="B21" s="26" t="s">
        <v>84</v>
      </c>
      <c r="C21" s="27"/>
      <c r="D21" s="27"/>
      <c r="E21" s="28"/>
      <c r="H21" s="26" t="s">
        <v>85</v>
      </c>
      <c r="I21" s="27"/>
      <c r="J21" s="27"/>
      <c r="K21" s="28"/>
      <c r="N21" s="26" t="s">
        <v>86</v>
      </c>
      <c r="O21" s="27"/>
      <c r="P21" s="27"/>
      <c r="Q21" s="28"/>
    </row>
    <row r="22" spans="2:17" x14ac:dyDescent="0.3">
      <c r="B22" s="29"/>
      <c r="C22" s="30"/>
      <c r="D22" s="30"/>
      <c r="E22" s="31"/>
      <c r="H22" s="29"/>
      <c r="I22" s="30"/>
      <c r="J22" s="30"/>
      <c r="K22" s="31"/>
      <c r="N22" s="29"/>
      <c r="O22" s="30"/>
      <c r="P22" s="30"/>
      <c r="Q22" s="31"/>
    </row>
    <row r="23" spans="2:17" x14ac:dyDescent="0.3">
      <c r="B23" s="29"/>
      <c r="C23" s="30"/>
      <c r="D23" s="30"/>
      <c r="E23" s="31"/>
      <c r="H23" s="29"/>
      <c r="I23" s="30"/>
      <c r="J23" s="30"/>
      <c r="K23" s="31"/>
      <c r="N23" s="29"/>
      <c r="O23" s="30"/>
      <c r="P23" s="30"/>
      <c r="Q23" s="31"/>
    </row>
    <row r="24" spans="2:17" x14ac:dyDescent="0.3">
      <c r="B24" s="32"/>
      <c r="C24" s="33"/>
      <c r="D24" s="33"/>
      <c r="E24" s="34"/>
      <c r="H24" s="32"/>
      <c r="I24" s="33"/>
      <c r="J24" s="33"/>
      <c r="K24" s="34"/>
      <c r="N24" s="32"/>
      <c r="O24" s="33"/>
      <c r="P24" s="33"/>
      <c r="Q24" s="34"/>
    </row>
    <row r="25" spans="2:17" x14ac:dyDescent="0.3">
      <c r="B25" s="71">
        <f>COUNTIF(Flights_Data!L:L, "Cancelled")</f>
        <v>0</v>
      </c>
      <c r="C25" s="72"/>
      <c r="D25" s="72"/>
      <c r="E25" s="73"/>
      <c r="H25" s="77">
        <f>AVERAGE(Delay_Reasons_Data!D:D)</f>
        <v>42.606060606060609</v>
      </c>
      <c r="I25" s="78"/>
      <c r="J25" s="78"/>
      <c r="K25" s="79"/>
      <c r="N25" s="83">
        <f>H17/B17</f>
        <v>0.66</v>
      </c>
      <c r="O25" s="84"/>
      <c r="P25" s="84"/>
      <c r="Q25" s="85"/>
    </row>
    <row r="26" spans="2:17" x14ac:dyDescent="0.3">
      <c r="B26" s="74"/>
      <c r="C26" s="75"/>
      <c r="D26" s="75"/>
      <c r="E26" s="76"/>
      <c r="H26" s="80"/>
      <c r="I26" s="81"/>
      <c r="J26" s="81"/>
      <c r="K26" s="82"/>
      <c r="N26" s="86"/>
      <c r="O26" s="87"/>
      <c r="P26" s="87"/>
      <c r="Q26" s="88"/>
    </row>
  </sheetData>
  <mergeCells count="14">
    <mergeCell ref="B21:E24"/>
    <mergeCell ref="B25:E26"/>
    <mergeCell ref="H21:K24"/>
    <mergeCell ref="H25:K26"/>
    <mergeCell ref="N21:Q24"/>
    <mergeCell ref="N25:Q26"/>
    <mergeCell ref="B13:E16"/>
    <mergeCell ref="B17:E18"/>
    <mergeCell ref="H13:K16"/>
    <mergeCell ref="H17:K18"/>
    <mergeCell ref="N13:Q16"/>
    <mergeCell ref="N17:Q18"/>
    <mergeCell ref="A1:R6"/>
    <mergeCell ref="A8:I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CC20-7A84-4E2F-857F-BC3CEC0FB763}">
  <dimension ref="A1:R47"/>
  <sheetViews>
    <sheetView showGridLines="0" zoomScale="40" zoomScaleNormal="40" workbookViewId="0">
      <selection activeCell="W23" sqref="W23"/>
    </sheetView>
  </sheetViews>
  <sheetFormatPr defaultRowHeight="14.4" x14ac:dyDescent="0.3"/>
  <cols>
    <col min="2" max="2" width="7.77734375" customWidth="1"/>
    <col min="3" max="3" width="17.109375" customWidth="1"/>
    <col min="4" max="4" width="16.6640625" customWidth="1"/>
    <col min="8" max="8" width="11.21875" customWidth="1"/>
    <col min="9" max="9" width="11" customWidth="1"/>
  </cols>
  <sheetData>
    <row r="1" spans="1:18" x14ac:dyDescent="0.3">
      <c r="A1" s="41" t="s">
        <v>89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</row>
    <row r="2" spans="1:18" x14ac:dyDescent="0.3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1:18" x14ac:dyDescent="0.3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6"/>
    </row>
    <row r="4" spans="1:18" x14ac:dyDescent="0.3">
      <c r="A4" s="44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6"/>
    </row>
    <row r="5" spans="1:18" x14ac:dyDescent="0.3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6"/>
    </row>
    <row r="6" spans="1:18" x14ac:dyDescent="0.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9"/>
    </row>
    <row r="8" spans="1:18" x14ac:dyDescent="0.3">
      <c r="A8" s="93" t="s">
        <v>90</v>
      </c>
      <c r="B8" s="94"/>
      <c r="C8" s="94"/>
      <c r="D8" s="94"/>
      <c r="E8" s="94"/>
      <c r="F8" s="94"/>
      <c r="G8" s="94"/>
      <c r="H8" s="94"/>
      <c r="I8" s="95"/>
    </row>
    <row r="9" spans="1:18" x14ac:dyDescent="0.3">
      <c r="A9" s="96"/>
      <c r="B9" s="97"/>
      <c r="C9" s="97"/>
      <c r="D9" s="97"/>
      <c r="E9" s="97"/>
      <c r="F9" s="97"/>
      <c r="G9" s="97"/>
      <c r="H9" s="97"/>
      <c r="I9" s="98"/>
    </row>
    <row r="10" spans="1:18" x14ac:dyDescent="0.3">
      <c r="A10" s="99"/>
      <c r="B10" s="100"/>
      <c r="C10" s="100"/>
      <c r="D10" s="100"/>
      <c r="E10" s="100"/>
      <c r="F10" s="100"/>
      <c r="G10" s="100"/>
      <c r="H10" s="100"/>
      <c r="I10" s="101"/>
    </row>
    <row r="33" spans="3:4" x14ac:dyDescent="0.3">
      <c r="C33" s="103" t="s">
        <v>93</v>
      </c>
      <c r="D33" s="103"/>
    </row>
    <row r="34" spans="3:4" x14ac:dyDescent="0.3">
      <c r="C34" s="103"/>
      <c r="D34" s="103"/>
    </row>
    <row r="35" spans="3:4" x14ac:dyDescent="0.3">
      <c r="C35" s="103"/>
      <c r="D35" s="103"/>
    </row>
    <row r="36" spans="3:4" x14ac:dyDescent="0.3">
      <c r="C36" s="90" t="s">
        <v>75</v>
      </c>
      <c r="D36" s="91" t="s">
        <v>92</v>
      </c>
    </row>
    <row r="37" spans="3:4" x14ac:dyDescent="0.3">
      <c r="C37" s="91">
        <v>10079</v>
      </c>
      <c r="D37" s="92">
        <v>62</v>
      </c>
    </row>
    <row r="38" spans="3:4" x14ac:dyDescent="0.3">
      <c r="C38" s="91">
        <v>10042</v>
      </c>
      <c r="D38" s="92">
        <v>60</v>
      </c>
    </row>
    <row r="39" spans="3:4" x14ac:dyDescent="0.3">
      <c r="C39" s="91">
        <v>10064</v>
      </c>
      <c r="D39" s="92">
        <v>58</v>
      </c>
    </row>
    <row r="40" spans="3:4" x14ac:dyDescent="0.3">
      <c r="C40" s="91">
        <v>10091</v>
      </c>
      <c r="D40" s="92">
        <v>57</v>
      </c>
    </row>
    <row r="41" spans="3:4" x14ac:dyDescent="0.3">
      <c r="C41" s="91">
        <v>10033</v>
      </c>
      <c r="D41" s="92">
        <v>55</v>
      </c>
    </row>
    <row r="42" spans="3:4" x14ac:dyDescent="0.3">
      <c r="C42" s="91">
        <v>10076</v>
      </c>
      <c r="D42" s="92">
        <v>53</v>
      </c>
    </row>
    <row r="43" spans="3:4" x14ac:dyDescent="0.3">
      <c r="C43" s="91">
        <v>10048</v>
      </c>
      <c r="D43" s="92">
        <v>52</v>
      </c>
    </row>
    <row r="44" spans="3:4" x14ac:dyDescent="0.3">
      <c r="C44" s="91">
        <v>10014</v>
      </c>
      <c r="D44" s="92">
        <v>50</v>
      </c>
    </row>
    <row r="45" spans="3:4" x14ac:dyDescent="0.3">
      <c r="C45" s="91">
        <v>10094</v>
      </c>
      <c r="D45" s="92">
        <v>49</v>
      </c>
    </row>
    <row r="46" spans="3:4" x14ac:dyDescent="0.3">
      <c r="C46" s="91">
        <v>10055</v>
      </c>
      <c r="D46" s="92">
        <v>48</v>
      </c>
    </row>
    <row r="47" spans="3:4" x14ac:dyDescent="0.3">
      <c r="C47" s="91" t="s">
        <v>76</v>
      </c>
      <c r="D47" s="92">
        <v>62</v>
      </c>
    </row>
  </sheetData>
  <mergeCells count="3">
    <mergeCell ref="A1:R6"/>
    <mergeCell ref="A8:I10"/>
    <mergeCell ref="C33:D35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4E31-C64D-4388-843F-B6B4E4C818A1}">
  <dimension ref="A1:R10"/>
  <sheetViews>
    <sheetView showGridLines="0" zoomScale="55" zoomScaleNormal="55" workbookViewId="0">
      <selection activeCell="Y29" sqref="Y29"/>
    </sheetView>
  </sheetViews>
  <sheetFormatPr defaultRowHeight="14.4" x14ac:dyDescent="0.3"/>
  <sheetData>
    <row r="1" spans="1:18" x14ac:dyDescent="0.3">
      <c r="A1" s="41" t="s">
        <v>95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</row>
    <row r="2" spans="1:18" x14ac:dyDescent="0.3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1:18" x14ac:dyDescent="0.3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6"/>
    </row>
    <row r="4" spans="1:18" x14ac:dyDescent="0.3">
      <c r="A4" s="44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6"/>
    </row>
    <row r="5" spans="1:18" x14ac:dyDescent="0.3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6"/>
    </row>
    <row r="6" spans="1:18" x14ac:dyDescent="0.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9"/>
    </row>
    <row r="8" spans="1:18" x14ac:dyDescent="0.3">
      <c r="A8" s="93" t="s">
        <v>96</v>
      </c>
      <c r="B8" s="94"/>
      <c r="C8" s="94"/>
      <c r="D8" s="94"/>
      <c r="E8" s="94"/>
      <c r="F8" s="94"/>
      <c r="G8" s="94"/>
      <c r="H8" s="94"/>
      <c r="I8" s="95"/>
    </row>
    <row r="9" spans="1:18" x14ac:dyDescent="0.3">
      <c r="A9" s="96"/>
      <c r="B9" s="97"/>
      <c r="C9" s="97"/>
      <c r="D9" s="97"/>
      <c r="E9" s="97"/>
      <c r="F9" s="97"/>
      <c r="G9" s="97"/>
      <c r="H9" s="97"/>
      <c r="I9" s="98"/>
    </row>
    <row r="10" spans="1:18" x14ac:dyDescent="0.3">
      <c r="A10" s="99"/>
      <c r="B10" s="100"/>
      <c r="C10" s="100"/>
      <c r="D10" s="100"/>
      <c r="E10" s="100"/>
      <c r="F10" s="100"/>
      <c r="G10" s="100"/>
      <c r="H10" s="100"/>
      <c r="I10" s="101"/>
    </row>
  </sheetData>
  <mergeCells count="2">
    <mergeCell ref="A1:R6"/>
    <mergeCell ref="A8:I10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Airports_Data</vt:lpstr>
      <vt:lpstr>Airlines_Data</vt:lpstr>
      <vt:lpstr>Aircrafts_Data</vt:lpstr>
      <vt:lpstr>Flights_Data</vt:lpstr>
      <vt:lpstr>Delay_Reasons_Data</vt:lpstr>
      <vt:lpstr>Pivot_Tables</vt:lpstr>
      <vt:lpstr>Overview_Dashboard</vt:lpstr>
      <vt:lpstr>Delay_Analysis</vt:lpstr>
      <vt:lpstr>Airport &amp; Route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 Barış Ergin</dc:creator>
  <cp:lastModifiedBy>Emir Barış Ergin</cp:lastModifiedBy>
  <dcterms:created xsi:type="dcterms:W3CDTF">2026-06-11T14:07:55Z</dcterms:created>
  <dcterms:modified xsi:type="dcterms:W3CDTF">2026-06-11T17:38:07Z</dcterms:modified>
</cp:coreProperties>
</file>